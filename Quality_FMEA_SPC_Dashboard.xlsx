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SPC_Data" sheetId="2" state="visible" r:id="rId4"/>
    <sheet name="SPC_Charts" sheetId="3" state="visible" r:id="rId5"/>
    <sheet name="Raw_Defect_Log" sheetId="4" state="visible" r:id="rId6"/>
    <sheet name="Defect_Pareto" sheetId="5" state="visible" r:id="rId7"/>
    <sheet name="FME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Cpk estimate using USL=6.5mm, LSL=5.5mm (assumed +/-0.5mm tolerance band around 6.00mm target) and sigma_hat = Rbar/d2 with d2=2.326 for n=5. Tolerance band is an assumption for demonstration.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3" authorId="0">
      <text>
        <r>
          <rPr>
            <sz val="10"/>
            <rFont val="Arial"/>
            <family val="2"/>
          </rPr>
          <t xml:space="preserve">Standard Shewhart control-chart constant for subgroup size n=5. Source: standard SPC/AIAG control-chart factor table.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1 (low) to 10 (high) — input cells, shaded yellow.</t>
        </r>
      </text>
    </comment>
  </commentList>
</comments>
</file>

<file path=xl/sharedStrings.xml><?xml version="1.0" encoding="utf-8"?>
<sst xmlns="http://schemas.openxmlformats.org/spreadsheetml/2006/main" count="1001" uniqueCount="156">
  <si>
    <t xml:space="preserve">Quality Dashboard — Door Panel Sub-assembly Line</t>
  </si>
  <si>
    <t xml:space="preserve">FMEA + SPC monitoring, built to demonstrate an APQP-style quality-control workflow · synthetic demonstration data</t>
  </si>
  <si>
    <t xml:space="preserve">Key Metrics</t>
  </si>
  <si>
    <t xml:space="preserve">Total inspections logged</t>
  </si>
  <si>
    <t xml:space="preserve">Total defects logged</t>
  </si>
  <si>
    <t xml:space="preserve">Top failure mode</t>
  </si>
  <si>
    <t xml:space="preserve">Highest RPN (FMEA)</t>
  </si>
  <si>
    <t xml:space="preserve">Process Cpk (weld diameter, USL/LSL = 6.00 mm ± 0.50 mm)</t>
  </si>
  <si>
    <t xml:space="preserve">See FMEA tab for full risk table, SPC_Charts tab for control charts, Defect_Pareto tab for ranked failure modes.</t>
  </si>
  <si>
    <t xml:space="preserve">Weld Nugget Diameter — Subgroup Measurements (mm)</t>
  </si>
  <si>
    <t xml:space="preserve">Door-panel spot weld, BIW Line 2 · target 6.00 mm · n=5 samples per shift subgroup · synthetic data for demonstration</t>
  </si>
  <si>
    <t xml:space="preserve">Subgroup</t>
  </si>
  <si>
    <t xml:space="preserve">Sample1</t>
  </si>
  <si>
    <t xml:space="preserve">Sample2</t>
  </si>
  <si>
    <t xml:space="preserve">Sample3</t>
  </si>
  <si>
    <t xml:space="preserve">Sample4</t>
  </si>
  <si>
    <t xml:space="preserve">Sample5</t>
  </si>
  <si>
    <t xml:space="preserve">Xbar (mean)</t>
  </si>
  <si>
    <t xml:space="preserve">R (range)</t>
  </si>
  <si>
    <t xml:space="preserve">SPC constants (n=5, from standard control-chart factor tables):</t>
  </si>
  <si>
    <t xml:space="preserve">A2</t>
  </si>
  <si>
    <t xml:space="preserve">D3</t>
  </si>
  <si>
    <t xml:space="preserve">D4</t>
  </si>
  <si>
    <t xml:space="preserve">Control limit calculations</t>
  </si>
  <si>
    <t xml:space="preserve">Xbar-bar (grand mean)</t>
  </si>
  <si>
    <t xml:space="preserve">Rbar (mean range)</t>
  </si>
  <si>
    <t xml:space="preserve">UCL (Xbar chart)</t>
  </si>
  <si>
    <t xml:space="preserve">LCL (Xbar chart)</t>
  </si>
  <si>
    <t xml:space="preserve">CL (Xbar chart)</t>
  </si>
  <si>
    <t xml:space="preserve">UCL (R chart)</t>
  </si>
  <si>
    <t xml:space="preserve">LCL (R chart)</t>
  </si>
  <si>
    <t xml:space="preserve">CL (R chart)</t>
  </si>
  <si>
    <t xml:space="preserve">Control Charts — Weld Nugget Diameter</t>
  </si>
  <si>
    <t xml:space="preserve">X-bar chart (subgroup means) and R chart (subgroup ranges) with 3-sigma control limits</t>
  </si>
  <si>
    <t xml:space="preserve">Xbar</t>
  </si>
  <si>
    <t xml:space="preserve">R</t>
  </si>
  <si>
    <t xml:space="preserve">UCL_X</t>
  </si>
  <si>
    <t xml:space="preserve">CL_X</t>
  </si>
  <si>
    <t xml:space="preserve">LCL_X</t>
  </si>
  <si>
    <t xml:space="preserve">UCL_R</t>
  </si>
  <si>
    <t xml:space="preserve">LCL_R</t>
  </si>
  <si>
    <t xml:space="preserve">Inspection Defect Log — Door Panel Sub-assembly</t>
  </si>
  <si>
    <t xml:space="preserve">300 inspection records, Aug–Sep 2026, synthetic data for demonstration</t>
  </si>
  <si>
    <t xml:space="preserve">Record_ID</t>
  </si>
  <si>
    <t xml:space="preserve">Date</t>
  </si>
  <si>
    <t xml:space="preserve">Station</t>
  </si>
  <si>
    <t xml:space="preserve">Failure_Mode</t>
  </si>
  <si>
    <t xml:space="preserve">2026-09-10</t>
  </si>
  <si>
    <t xml:space="preserve">BIW Line 2</t>
  </si>
  <si>
    <t xml:space="preserve">Weld porosity (spot weld)</t>
  </si>
  <si>
    <t xml:space="preserve">2026-09-17</t>
  </si>
  <si>
    <t xml:space="preserve">Panel dimensional deviation</t>
  </si>
  <si>
    <t xml:space="preserve">2026-09-29</t>
  </si>
  <si>
    <t xml:space="preserve">Paint Shop A</t>
  </si>
  <si>
    <t xml:space="preserve">Fastener under-torque</t>
  </si>
  <si>
    <t xml:space="preserve">2026-09-06</t>
  </si>
  <si>
    <t xml:space="preserve">2026-08-10</t>
  </si>
  <si>
    <t xml:space="preserve">Final Assembly</t>
  </si>
  <si>
    <t xml:space="preserve">2026-08-29</t>
  </si>
  <si>
    <t xml:space="preserve">2026-08-17</t>
  </si>
  <si>
    <t xml:space="preserve">2026-08-27</t>
  </si>
  <si>
    <t xml:space="preserve">2026-09-02</t>
  </si>
  <si>
    <t xml:space="preserve">2026-09-27</t>
  </si>
  <si>
    <t xml:space="preserve">2026-09-20</t>
  </si>
  <si>
    <t xml:space="preserve">2026-08-22</t>
  </si>
  <si>
    <t xml:space="preserve">2026-08-19</t>
  </si>
  <si>
    <t xml:space="preserve">2026-08-08</t>
  </si>
  <si>
    <t xml:space="preserve">Paint film thickness deviation</t>
  </si>
  <si>
    <t xml:space="preserve">2026-09-13</t>
  </si>
  <si>
    <t xml:space="preserve">2026-08-20</t>
  </si>
  <si>
    <t xml:space="preserve">2026-09-28</t>
  </si>
  <si>
    <t xml:space="preserve">2026-08-09</t>
  </si>
  <si>
    <t xml:space="preserve">2026-09-08</t>
  </si>
  <si>
    <t xml:space="preserve">Surface scratch / dent</t>
  </si>
  <si>
    <t xml:space="preserve">2026-09-24</t>
  </si>
  <si>
    <t xml:space="preserve">2026-08-11</t>
  </si>
  <si>
    <t xml:space="preserve">2026-08-18</t>
  </si>
  <si>
    <t xml:space="preserve">2026-08-07</t>
  </si>
  <si>
    <t xml:space="preserve">2026-08-02</t>
  </si>
  <si>
    <t xml:space="preserve">2026-08-25</t>
  </si>
  <si>
    <t xml:space="preserve">2026-09-14</t>
  </si>
  <si>
    <t xml:space="preserve">2026-08-01</t>
  </si>
  <si>
    <t xml:space="preserve">2026-09-23</t>
  </si>
  <si>
    <t xml:space="preserve">2026-08-23</t>
  </si>
  <si>
    <t xml:space="preserve">2026-08-03</t>
  </si>
  <si>
    <t xml:space="preserve">2026-08-30</t>
  </si>
  <si>
    <t xml:space="preserve">2026-09-26</t>
  </si>
  <si>
    <t xml:space="preserve">2026-09-25</t>
  </si>
  <si>
    <t xml:space="preserve">2026-08-26</t>
  </si>
  <si>
    <t xml:space="preserve">2026-09-19</t>
  </si>
  <si>
    <t xml:space="preserve">2026-09-04</t>
  </si>
  <si>
    <t xml:space="preserve">2026-08-31</t>
  </si>
  <si>
    <t xml:space="preserve">2026-09-01</t>
  </si>
  <si>
    <t xml:space="preserve">2026-08-28</t>
  </si>
  <si>
    <t xml:space="preserve">2026-09-15</t>
  </si>
  <si>
    <t xml:space="preserve">2026-09-22</t>
  </si>
  <si>
    <t xml:space="preserve">2026-09-12</t>
  </si>
  <si>
    <t xml:space="preserve">2026-08-06</t>
  </si>
  <si>
    <t xml:space="preserve">2026-08-15</t>
  </si>
  <si>
    <t xml:space="preserve">2026-09-16</t>
  </si>
  <si>
    <t xml:space="preserve">2026-08-13</t>
  </si>
  <si>
    <t xml:space="preserve">2026-09-05</t>
  </si>
  <si>
    <t xml:space="preserve">2026-08-24</t>
  </si>
  <si>
    <t xml:space="preserve">2026-09-11</t>
  </si>
  <si>
    <t xml:space="preserve">2026-09-07</t>
  </si>
  <si>
    <t xml:space="preserve">2026-09-21</t>
  </si>
  <si>
    <t xml:space="preserve">2026-09-18</t>
  </si>
  <si>
    <t xml:space="preserve">2026-08-16</t>
  </si>
  <si>
    <t xml:space="preserve">2026-08-12</t>
  </si>
  <si>
    <t xml:space="preserve">2026-08-04</t>
  </si>
  <si>
    <t xml:space="preserve">2026-09-03</t>
  </si>
  <si>
    <t xml:space="preserve">2026-08-21</t>
  </si>
  <si>
    <t xml:space="preserve">2026-09-09</t>
  </si>
  <si>
    <t xml:space="preserve">2026-08-05</t>
  </si>
  <si>
    <t xml:space="preserve">2026-08-14</t>
  </si>
  <si>
    <t xml:space="preserve">Pareto Analysis — Failure Mode Frequency</t>
  </si>
  <si>
    <t xml:space="preserve">Counted from the inspection defect log; ranked to identify the vital-few failure modes</t>
  </si>
  <si>
    <t xml:space="preserve">Failure Mode</t>
  </si>
  <si>
    <t xml:space="preserve">Count</t>
  </si>
  <si>
    <t xml:space="preserve">Percent of Total</t>
  </si>
  <si>
    <t xml:space="preserve">Cumulative %</t>
  </si>
  <si>
    <t xml:space="preserve">Process FMEA — Door Panel Sub-assembly (Top 5 Failure Modes)</t>
  </si>
  <si>
    <t xml:space="preserve">Severity, Occurrence and Detection rated 1(low)-10(high) per standard AIAG FMEA practice; RPN = S x O x D</t>
  </si>
  <si>
    <t xml:space="preserve">Process Step</t>
  </si>
  <si>
    <t xml:space="preserve">Potential Effect</t>
  </si>
  <si>
    <t xml:space="preserve">Severity (S)</t>
  </si>
  <si>
    <t xml:space="preserve">Potential Cause</t>
  </si>
  <si>
    <t xml:space="preserve">Occurrence (O)</t>
  </si>
  <si>
    <t xml:space="preserve">Current Control</t>
  </si>
  <si>
    <t xml:space="preserve">Detection (D)</t>
  </si>
  <si>
    <t xml:space="preserve">RPN</t>
  </si>
  <si>
    <t xml:space="preserve">Recommended Action</t>
  </si>
  <si>
    <t xml:space="preserve">Spot welding (BIW Line 2)</t>
  </si>
  <si>
    <t xml:space="preserve">Weak weld joint, risk of panel separation</t>
  </si>
  <si>
    <t xml:space="preserve">Fluctuating electrode pressure / surface contamination</t>
  </si>
  <si>
    <t xml:space="preserve">Periodic visual + peel-test sampling</t>
  </si>
  <si>
    <t xml:space="preserve">Add inline weld-current monitoring; tighten electrode maintenance schedule</t>
  </si>
  <si>
    <t xml:space="preserve">Panel stamping</t>
  </si>
  <si>
    <t xml:space="preserve">Poor panel fit-up at assembly, rework needed</t>
  </si>
  <si>
    <t xml:space="preserve">Die wear over production run</t>
  </si>
  <si>
    <t xml:space="preserve">First-off inspection each shift</t>
  </si>
  <si>
    <t xml:space="preserve">Move to statistical (SPC) monitoring of key dimension instead of first-off only</t>
  </si>
  <si>
    <t xml:space="preserve">Paint shop A</t>
  </si>
  <si>
    <t xml:space="preserve">Corrosion risk / inconsistent finish appearance</t>
  </si>
  <si>
    <t xml:space="preserve">Spray-gun distance/speed variation</t>
  </si>
  <si>
    <t xml:space="preserve">Random thickness gauge checks</t>
  </si>
  <si>
    <t xml:space="preserve">Standardize spray parameters; increase gauge-check frequency</t>
  </si>
  <si>
    <t xml:space="preserve">Final assembly</t>
  </si>
  <si>
    <t xml:space="preserve">Loose panel attachment, NVH/rattle risk</t>
  </si>
  <si>
    <t xml:space="preserve">Torque tool calibration drift</t>
  </si>
  <si>
    <t xml:space="preserve">Torque wrench calibration monthly</t>
  </si>
  <si>
    <t xml:space="preserve">Shift to error-proofed (poka-yoke) torque tools with pass/fail signal</t>
  </si>
  <si>
    <t xml:space="preserve">Cosmetic defect, customer-visible</t>
  </si>
  <si>
    <t xml:space="preserve">Handling damage during transfer</t>
  </si>
  <si>
    <t xml:space="preserve">Final visual inspection</t>
  </si>
  <si>
    <t xml:space="preserve">Add protective handling fixtures at transfer point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</si>
</sst>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0.000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6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4A7EBB"/>
      <rgbColor rgb="FF63BE7B"/>
      <rgbColor rgb="FF98B855"/>
      <rgbColor rgb="FFFFCC00"/>
      <rgbColor rgb="FFFF9900"/>
      <rgbColor rgb="FFFF6600"/>
      <rgbColor rgb="FF7D5FA0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X-bar Chart — Weld Nugget Diameter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SPC_Charts!B4</c:f>
              <c:strCache>
                <c:ptCount val="1"/>
                <c:pt idx="0">
                  <c:v>Xbar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SPC_Charts!$A$5:$A$29</c:f>
              <c:strCache>
                <c:ptCount val="25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</c:strCache>
            </c:strRef>
          </c:cat>
          <c:val>
            <c:numRef>
              <c:f>SPC_Charts!$B$5:$B$29</c:f>
              <c:numCache>
                <c:formatCode>0.000</c:formatCode>
                <c:ptCount val="25"/>
                <c:pt idx="0">
                  <c:v>5.9702</c:v>
                </c:pt>
                <c:pt idx="1">
                  <c:v>5.9292</c:v>
                </c:pt>
                <c:pt idx="2">
                  <c:v>6.0996</c:v>
                </c:pt>
                <c:pt idx="3">
                  <c:v>5.9814</c:v>
                </c:pt>
                <c:pt idx="4">
                  <c:v>5.9932</c:v>
                </c:pt>
                <c:pt idx="5">
                  <c:v>6.0418</c:v>
                </c:pt>
                <c:pt idx="6">
                  <c:v>6.0306</c:v>
                </c:pt>
                <c:pt idx="7">
                  <c:v>6</c:v>
                </c:pt>
                <c:pt idx="8">
                  <c:v>6.029</c:v>
                </c:pt>
                <c:pt idx="9">
                  <c:v>6.062</c:v>
                </c:pt>
                <c:pt idx="10">
                  <c:v>5.96</c:v>
                </c:pt>
                <c:pt idx="11">
                  <c:v>6.0204</c:v>
                </c:pt>
                <c:pt idx="12">
                  <c:v>5.9834</c:v>
                </c:pt>
                <c:pt idx="13">
                  <c:v>6.0196</c:v>
                </c:pt>
                <c:pt idx="14">
                  <c:v>5.9194</c:v>
                </c:pt>
                <c:pt idx="15">
                  <c:v>6.0224</c:v>
                </c:pt>
                <c:pt idx="16">
                  <c:v>5.936</c:v>
                </c:pt>
                <c:pt idx="17">
                  <c:v>6.0288</c:v>
                </c:pt>
                <c:pt idx="18">
                  <c:v>6.0714</c:v>
                </c:pt>
                <c:pt idx="19">
                  <c:v>5.9918</c:v>
                </c:pt>
                <c:pt idx="20">
                  <c:v>6.1312</c:v>
                </c:pt>
                <c:pt idx="21">
                  <c:v>6.0484</c:v>
                </c:pt>
                <c:pt idx="22">
                  <c:v>6.0812</c:v>
                </c:pt>
                <c:pt idx="23">
                  <c:v>6.1526</c:v>
                </c:pt>
                <c:pt idx="24">
                  <c:v>6.167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SPC_Charts!D4</c:f>
              <c:strCache>
                <c:ptCount val="1"/>
                <c:pt idx="0">
                  <c:v>UCL_X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SPC_Charts!$A$5:$A$29</c:f>
              <c:strCache>
                <c:ptCount val="25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</c:strCache>
            </c:strRef>
          </c:cat>
          <c:val>
            <c:numRef>
              <c:f>SPC_Charts!$D$5:$D$29</c:f>
              <c:numCache>
                <c:formatCode>0.000</c:formatCode>
                <c:ptCount val="25"/>
                <c:pt idx="0">
                  <c:v>6.1867684</c:v>
                </c:pt>
                <c:pt idx="1">
                  <c:v>6.1867684</c:v>
                </c:pt>
                <c:pt idx="2">
                  <c:v>6.1867684</c:v>
                </c:pt>
                <c:pt idx="3">
                  <c:v>6.1867684</c:v>
                </c:pt>
                <c:pt idx="4">
                  <c:v>6.1867684</c:v>
                </c:pt>
                <c:pt idx="5">
                  <c:v>6.1867684</c:v>
                </c:pt>
                <c:pt idx="6">
                  <c:v>6.1867684</c:v>
                </c:pt>
                <c:pt idx="7">
                  <c:v>6.1867684</c:v>
                </c:pt>
                <c:pt idx="8">
                  <c:v>6.1867684</c:v>
                </c:pt>
                <c:pt idx="9">
                  <c:v>6.1867684</c:v>
                </c:pt>
                <c:pt idx="10">
                  <c:v>6.1867684</c:v>
                </c:pt>
                <c:pt idx="11">
                  <c:v>6.1867684</c:v>
                </c:pt>
                <c:pt idx="12">
                  <c:v>6.1867684</c:v>
                </c:pt>
                <c:pt idx="13">
                  <c:v>6.1867684</c:v>
                </c:pt>
                <c:pt idx="14">
                  <c:v>6.1867684</c:v>
                </c:pt>
                <c:pt idx="15">
                  <c:v>6.1867684</c:v>
                </c:pt>
                <c:pt idx="16">
                  <c:v>6.1867684</c:v>
                </c:pt>
                <c:pt idx="17">
                  <c:v>6.1867684</c:v>
                </c:pt>
                <c:pt idx="18">
                  <c:v>6.1867684</c:v>
                </c:pt>
                <c:pt idx="19">
                  <c:v>6.1867684</c:v>
                </c:pt>
                <c:pt idx="20">
                  <c:v>6.1867684</c:v>
                </c:pt>
                <c:pt idx="21">
                  <c:v>6.1867684</c:v>
                </c:pt>
                <c:pt idx="22">
                  <c:v>6.1867684</c:v>
                </c:pt>
                <c:pt idx="23">
                  <c:v>6.1867684</c:v>
                </c:pt>
                <c:pt idx="24">
                  <c:v>6.1867684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SPC_Charts!E4</c:f>
              <c:strCache>
                <c:ptCount val="1"/>
                <c:pt idx="0">
                  <c:v>CL_X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SPC_Charts!$A$5:$A$29</c:f>
              <c:strCache>
                <c:ptCount val="25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</c:strCache>
            </c:strRef>
          </c:cat>
          <c:val>
            <c:numRef>
              <c:f>SPC_Charts!$E$5:$E$29</c:f>
              <c:numCache>
                <c:formatCode>0.000</c:formatCode>
                <c:ptCount val="25"/>
                <c:pt idx="0">
                  <c:v>6.026824</c:v>
                </c:pt>
                <c:pt idx="1">
                  <c:v>6.026824</c:v>
                </c:pt>
                <c:pt idx="2">
                  <c:v>6.026824</c:v>
                </c:pt>
                <c:pt idx="3">
                  <c:v>6.026824</c:v>
                </c:pt>
                <c:pt idx="4">
                  <c:v>6.026824</c:v>
                </c:pt>
                <c:pt idx="5">
                  <c:v>6.026824</c:v>
                </c:pt>
                <c:pt idx="6">
                  <c:v>6.026824</c:v>
                </c:pt>
                <c:pt idx="7">
                  <c:v>6.026824</c:v>
                </c:pt>
                <c:pt idx="8">
                  <c:v>6.026824</c:v>
                </c:pt>
                <c:pt idx="9">
                  <c:v>6.026824</c:v>
                </c:pt>
                <c:pt idx="10">
                  <c:v>6.026824</c:v>
                </c:pt>
                <c:pt idx="11">
                  <c:v>6.026824</c:v>
                </c:pt>
                <c:pt idx="12">
                  <c:v>6.026824</c:v>
                </c:pt>
                <c:pt idx="13">
                  <c:v>6.026824</c:v>
                </c:pt>
                <c:pt idx="14">
                  <c:v>6.026824</c:v>
                </c:pt>
                <c:pt idx="15">
                  <c:v>6.026824</c:v>
                </c:pt>
                <c:pt idx="16">
                  <c:v>6.026824</c:v>
                </c:pt>
                <c:pt idx="17">
                  <c:v>6.026824</c:v>
                </c:pt>
                <c:pt idx="18">
                  <c:v>6.026824</c:v>
                </c:pt>
                <c:pt idx="19">
                  <c:v>6.026824</c:v>
                </c:pt>
                <c:pt idx="20">
                  <c:v>6.026824</c:v>
                </c:pt>
                <c:pt idx="21">
                  <c:v>6.026824</c:v>
                </c:pt>
                <c:pt idx="22">
                  <c:v>6.026824</c:v>
                </c:pt>
                <c:pt idx="23">
                  <c:v>6.026824</c:v>
                </c:pt>
                <c:pt idx="24">
                  <c:v>6.026824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SPC_Charts!F4</c:f>
              <c:strCache>
                <c:ptCount val="1"/>
                <c:pt idx="0">
                  <c:v>LCL_X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SPC_Charts!$A$5:$A$29</c:f>
              <c:strCache>
                <c:ptCount val="25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</c:strCache>
            </c:strRef>
          </c:cat>
          <c:val>
            <c:numRef>
              <c:f>SPC_Charts!$F$5:$F$29</c:f>
              <c:numCache>
                <c:formatCode>0.000</c:formatCode>
                <c:ptCount val="25"/>
                <c:pt idx="0">
                  <c:v>5.8668796</c:v>
                </c:pt>
                <c:pt idx="1">
                  <c:v>5.8668796</c:v>
                </c:pt>
                <c:pt idx="2">
                  <c:v>5.8668796</c:v>
                </c:pt>
                <c:pt idx="3">
                  <c:v>5.8668796</c:v>
                </c:pt>
                <c:pt idx="4">
                  <c:v>5.8668796</c:v>
                </c:pt>
                <c:pt idx="5">
                  <c:v>5.8668796</c:v>
                </c:pt>
                <c:pt idx="6">
                  <c:v>5.8668796</c:v>
                </c:pt>
                <c:pt idx="7">
                  <c:v>5.8668796</c:v>
                </c:pt>
                <c:pt idx="8">
                  <c:v>5.8668796</c:v>
                </c:pt>
                <c:pt idx="9">
                  <c:v>5.8668796</c:v>
                </c:pt>
                <c:pt idx="10">
                  <c:v>5.8668796</c:v>
                </c:pt>
                <c:pt idx="11">
                  <c:v>5.8668796</c:v>
                </c:pt>
                <c:pt idx="12">
                  <c:v>5.8668796</c:v>
                </c:pt>
                <c:pt idx="13">
                  <c:v>5.8668796</c:v>
                </c:pt>
                <c:pt idx="14">
                  <c:v>5.8668796</c:v>
                </c:pt>
                <c:pt idx="15">
                  <c:v>5.8668796</c:v>
                </c:pt>
                <c:pt idx="16">
                  <c:v>5.8668796</c:v>
                </c:pt>
                <c:pt idx="17">
                  <c:v>5.8668796</c:v>
                </c:pt>
                <c:pt idx="18">
                  <c:v>5.8668796</c:v>
                </c:pt>
                <c:pt idx="19">
                  <c:v>5.8668796</c:v>
                </c:pt>
                <c:pt idx="20">
                  <c:v>5.8668796</c:v>
                </c:pt>
                <c:pt idx="21">
                  <c:v>5.8668796</c:v>
                </c:pt>
                <c:pt idx="22">
                  <c:v>5.8668796</c:v>
                </c:pt>
                <c:pt idx="23">
                  <c:v>5.8668796</c:v>
                </c:pt>
                <c:pt idx="24">
                  <c:v>5.8668796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7423989"/>
        <c:axId val="28868773"/>
      </c:lineChart>
      <c:catAx>
        <c:axId val="474239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68773"/>
        <c:crosses val="autoZero"/>
        <c:auto val="1"/>
        <c:lblAlgn val="ctr"/>
        <c:lblOffset val="100"/>
        <c:noMultiLvlLbl val="0"/>
      </c:catAx>
      <c:valAx>
        <c:axId val="288687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239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 Chart — Subgroup Range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SPC_Charts!C4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SPC_Charts!$A$5:$A$29</c:f>
              <c:strCache>
                <c:ptCount val="25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</c:strCache>
            </c:strRef>
          </c:cat>
          <c:val>
            <c:numRef>
              <c:f>SPC_Charts!$C$5:$C$29</c:f>
              <c:numCache>
                <c:formatCode>0.000</c:formatCode>
                <c:ptCount val="25"/>
                <c:pt idx="0">
                  <c:v>0.434</c:v>
                </c:pt>
                <c:pt idx="1">
                  <c:v>0.214</c:v>
                </c:pt>
                <c:pt idx="2">
                  <c:v>0.159</c:v>
                </c:pt>
                <c:pt idx="3">
                  <c:v>0.276</c:v>
                </c:pt>
                <c:pt idx="4">
                  <c:v>0.285</c:v>
                </c:pt>
                <c:pt idx="5">
                  <c:v>0.133</c:v>
                </c:pt>
                <c:pt idx="6">
                  <c:v>0.443</c:v>
                </c:pt>
                <c:pt idx="7">
                  <c:v>0.295</c:v>
                </c:pt>
                <c:pt idx="8">
                  <c:v>0.210999999999999</c:v>
                </c:pt>
                <c:pt idx="9">
                  <c:v>0.121</c:v>
                </c:pt>
                <c:pt idx="10">
                  <c:v>0.314</c:v>
                </c:pt>
                <c:pt idx="11">
                  <c:v>0.354</c:v>
                </c:pt>
                <c:pt idx="12">
                  <c:v>0.359</c:v>
                </c:pt>
                <c:pt idx="13">
                  <c:v>0.198</c:v>
                </c:pt>
                <c:pt idx="14">
                  <c:v>0.266</c:v>
                </c:pt>
                <c:pt idx="15">
                  <c:v>0.168</c:v>
                </c:pt>
                <c:pt idx="16">
                  <c:v>0.248</c:v>
                </c:pt>
                <c:pt idx="17">
                  <c:v>0.143000000000001</c:v>
                </c:pt>
                <c:pt idx="18">
                  <c:v>0.353</c:v>
                </c:pt>
                <c:pt idx="19">
                  <c:v>0.277</c:v>
                </c:pt>
                <c:pt idx="20">
                  <c:v>0.335</c:v>
                </c:pt>
                <c:pt idx="21">
                  <c:v>0.385000000000001</c:v>
                </c:pt>
                <c:pt idx="22">
                  <c:v>0.282</c:v>
                </c:pt>
                <c:pt idx="23">
                  <c:v>0.319</c:v>
                </c:pt>
                <c:pt idx="24">
                  <c:v>0.358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SPC_Charts!G4</c:f>
              <c:strCache>
                <c:ptCount val="1"/>
                <c:pt idx="0">
                  <c:v>UCL_R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SPC_Charts!$A$5:$A$29</c:f>
              <c:strCache>
                <c:ptCount val="25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</c:strCache>
            </c:strRef>
          </c:cat>
          <c:val>
            <c:numRef>
              <c:f>SPC_Charts!$G$5:$G$29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SPC_Charts!H4</c:f>
              <c:strCache>
                <c:ptCount val="1"/>
                <c:pt idx="0">
                  <c:v>LCL_R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SPC_Charts!$A$5:$A$29</c:f>
              <c:strCache>
                <c:ptCount val="25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</c:strCache>
            </c:strRef>
          </c:cat>
          <c:val>
            <c:numRef>
              <c:f>SPC_Charts!$H$5:$H$29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854447"/>
        <c:axId val="5177905"/>
      </c:lineChart>
      <c:catAx>
        <c:axId val="368544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7905"/>
        <c:crosses val="autoZero"/>
        <c:auto val="1"/>
        <c:lblAlgn val="ctr"/>
        <c:lblOffset val="100"/>
        <c:noMultiLvlLbl val="0"/>
      </c:catAx>
      <c:valAx>
        <c:axId val="51779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544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Pareto — Defect Failure Modes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Defect_Pareto!B4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Defect_Pareto!$A$5:$A$9</c:f>
              <c:strCache>
                <c:ptCount val="5"/>
                <c:pt idx="0">
                  <c:v>Weld porosity (spot weld)</c:v>
                </c:pt>
                <c:pt idx="1">
                  <c:v>Panel dimensional deviation</c:v>
                </c:pt>
                <c:pt idx="2">
                  <c:v>Paint film thickness deviation</c:v>
                </c:pt>
                <c:pt idx="3">
                  <c:v>Fastener under-torque</c:v>
                </c:pt>
                <c:pt idx="4">
                  <c:v>Surface scratch / dent</c:v>
                </c:pt>
              </c:strCache>
            </c:strRef>
          </c:cat>
          <c:val>
            <c:numRef>
              <c:f>Defect_Pareto!$B$5:$B$9</c:f>
              <c:numCache>
                <c:formatCode>General</c:formatCode>
                <c:ptCount val="5"/>
                <c:pt idx="0">
                  <c:v>104</c:v>
                </c:pt>
                <c:pt idx="1">
                  <c:v>92</c:v>
                </c:pt>
                <c:pt idx="2">
                  <c:v>46</c:v>
                </c:pt>
                <c:pt idx="3">
                  <c:v>38</c:v>
                </c:pt>
                <c:pt idx="4">
                  <c:v>20</c:v>
                </c:pt>
              </c:numCache>
            </c:numRef>
          </c:val>
        </c:ser>
        <c:gapWidth val="150"/>
        <c:overlap val="0"/>
        <c:axId val="59127012"/>
        <c:axId val="93290609"/>
      </c:barChart>
      <c:lineChart>
        <c:grouping val="standard"/>
        <c:varyColors val="0"/>
        <c:ser>
          <c:idx val="1"/>
          <c:order val="1"/>
          <c:tx>
            <c:strRef>
              <c:f>Defect_Pareto!D4</c:f>
              <c:strCache>
                <c:ptCount val="1"/>
                <c:pt idx="0">
                  <c:v>Cumulative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Defect_Pareto!$A$5:$A$9</c:f>
              <c:strCache>
                <c:ptCount val="5"/>
                <c:pt idx="0">
                  <c:v>Weld porosity (spot weld)</c:v>
                </c:pt>
                <c:pt idx="1">
                  <c:v>Panel dimensional deviation</c:v>
                </c:pt>
                <c:pt idx="2">
                  <c:v>Paint film thickness deviation</c:v>
                </c:pt>
                <c:pt idx="3">
                  <c:v>Fastener under-torque</c:v>
                </c:pt>
                <c:pt idx="4">
                  <c:v>Surface scratch / dent</c:v>
                </c:pt>
              </c:strCache>
            </c:strRef>
          </c:cat>
          <c:val>
            <c:numRef>
              <c:f>Defect_Pareto!$D$5:$D$9</c:f>
              <c:numCache>
                <c:formatCode>0.0%</c:formatCode>
                <c:ptCount val="5"/>
                <c:pt idx="0">
                  <c:v>0.346666666666667</c:v>
                </c:pt>
                <c:pt idx="1">
                  <c:v>0.653333333333333</c:v>
                </c:pt>
                <c:pt idx="2">
                  <c:v>0.806666666666667</c:v>
                </c:pt>
                <c:pt idx="3">
                  <c:v>0.933333333333333</c:v>
                </c:pt>
                <c:pt idx="4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1514023"/>
        <c:axId val="63627610"/>
      </c:lineChart>
      <c:catAx>
        <c:axId val="591270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Failure Mode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90609"/>
        <c:crosses val="autoZero"/>
        <c:auto val="1"/>
        <c:lblAlgn val="ctr"/>
        <c:lblOffset val="100"/>
        <c:noMultiLvlLbl val="0"/>
      </c:catAx>
      <c:valAx>
        <c:axId val="932906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27012"/>
        <c:crosses val="autoZero"/>
        <c:crossBetween val="between"/>
      </c:valAx>
      <c:catAx>
        <c:axId val="41514023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Failure Mode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27610"/>
        <c:crosses val="autoZero"/>
        <c:auto val="1"/>
        <c:lblAlgn val="ctr"/>
        <c:lblOffset val="100"/>
        <c:noMultiLvlLbl val="0"/>
      </c:catAx>
      <c:valAx>
        <c:axId val="6362761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14023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20</xdr:col>
      <xdr:colOff>473040</xdr:colOff>
      <xdr:row>18</xdr:row>
      <xdr:rowOff>172080</xdr:rowOff>
    </xdr:to>
    <xdr:graphicFrame>
      <xdr:nvGraphicFramePr>
        <xdr:cNvPr id="0" name="Chart 1"/>
        <xdr:cNvGraphicFramePr/>
      </xdr:nvGraphicFramePr>
      <xdr:xfrm>
        <a:off x="625032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171000</xdr:rowOff>
    </xdr:from>
    <xdr:to>
      <xdr:col>20</xdr:col>
      <xdr:colOff>473040</xdr:colOff>
      <xdr:row>36</xdr:row>
      <xdr:rowOff>172080</xdr:rowOff>
    </xdr:to>
    <xdr:graphicFrame>
      <xdr:nvGraphicFramePr>
        <xdr:cNvPr id="1" name="Chart 2"/>
        <xdr:cNvGraphicFramePr/>
      </xdr:nvGraphicFramePr>
      <xdr:xfrm>
        <a:off x="6250320" y="4000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16</xdr:col>
      <xdr:colOff>473040</xdr:colOff>
      <xdr:row>20</xdr:row>
      <xdr:rowOff>151200</xdr:rowOff>
    </xdr:to>
    <xdr:graphicFrame>
      <xdr:nvGraphicFramePr>
        <xdr:cNvPr id="2" name="Chart 1"/>
        <xdr:cNvGraphicFramePr/>
      </xdr:nvGraphicFramePr>
      <xdr:xfrm>
        <a:off x="561600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/>
      <c r="D6" s="4"/>
      <c r="E6" s="5" t="n">
        <f aca="false">COUNTA(Raw_Defect_Log!A5:A304)</f>
        <v>300</v>
      </c>
    </row>
    <row r="7" customFormat="false" ht="15" hidden="false" customHeight="false" outlineLevel="0" collapsed="false">
      <c r="B7" s="4" t="s">
        <v>4</v>
      </c>
      <c r="C7" s="4"/>
      <c r="D7" s="4"/>
      <c r="E7" s="5" t="n">
        <f aca="false">COUNTA(Raw_Defect_Log!D5:D304)</f>
        <v>300</v>
      </c>
    </row>
    <row r="8" customFormat="false" ht="15" hidden="false" customHeight="false" outlineLevel="0" collapsed="false">
      <c r="B8" s="4" t="s">
        <v>5</v>
      </c>
      <c r="C8" s="4"/>
      <c r="D8" s="4"/>
      <c r="E8" s="5" t="str">
        <f aca="false">INDEX(Defect_Pareto!A5:A9,MATCH(MAX(Defect_Pareto!B5:B9),Defect_Pareto!B5:B9,0))</f>
        <v>Weld porosity (spot weld)</v>
      </c>
    </row>
    <row r="9" customFormat="false" ht="15" hidden="false" customHeight="false" outlineLevel="0" collapsed="false">
      <c r="B9" s="4" t="s">
        <v>6</v>
      </c>
      <c r="C9" s="4"/>
      <c r="D9" s="4"/>
      <c r="E9" s="5" t="n">
        <f aca="false">MAX(FMEA!I5:I9)</f>
        <v>240</v>
      </c>
    </row>
    <row r="10" customFormat="false" ht="15" hidden="false" customHeight="false" outlineLevel="0" collapsed="false">
      <c r="B10" s="4" t="s">
        <v>7</v>
      </c>
      <c r="C10" s="4"/>
      <c r="D10" s="4"/>
      <c r="E10" s="6" t="n">
        <f aca="false">MIN(6.5-Raw_SPC_Data!B37,Raw_SPC_Data!B37-5.5)/(3*(Raw_SPC_Data!B38/2.326))</f>
        <v>1.32348169312169</v>
      </c>
    </row>
    <row r="12" customFormat="false" ht="15" hidden="false" customHeight="false" outlineLevel="0" collapsed="false">
      <c r="B12" s="7" t="s">
        <v>8</v>
      </c>
      <c r="C12" s="7"/>
      <c r="D12" s="7"/>
      <c r="E12" s="7"/>
      <c r="F12" s="7"/>
    </row>
  </sheetData>
  <mergeCells count="6">
    <mergeCell ref="B6:D6"/>
    <mergeCell ref="B7:D7"/>
    <mergeCell ref="B8:D8"/>
    <mergeCell ref="B9:D9"/>
    <mergeCell ref="B10:D10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1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8" t="s">
        <v>9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7" t="s">
        <v>10</v>
      </c>
      <c r="B2" s="7"/>
      <c r="C2" s="7"/>
      <c r="D2" s="7"/>
      <c r="E2" s="7"/>
      <c r="F2" s="7"/>
      <c r="G2" s="7"/>
      <c r="H2" s="7"/>
    </row>
    <row r="4" customFormat="false" ht="15" hidden="false" customHeight="false" outlineLevel="0" collapsed="false">
      <c r="A4" s="9" t="s">
        <v>11</v>
      </c>
      <c r="B4" s="9" t="s">
        <v>12</v>
      </c>
      <c r="C4" s="9" t="s">
        <v>13</v>
      </c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</row>
    <row r="5" customFormat="false" ht="15" hidden="false" customHeight="false" outlineLevel="0" collapsed="false">
      <c r="A5" s="4" t="n">
        <v>1</v>
      </c>
      <c r="B5" s="10" t="n">
        <v>6.046</v>
      </c>
      <c r="C5" s="10" t="n">
        <v>5.844</v>
      </c>
      <c r="D5" s="10" t="n">
        <v>6.113</v>
      </c>
      <c r="E5" s="10" t="n">
        <v>6.141</v>
      </c>
      <c r="F5" s="10" t="n">
        <v>5.707</v>
      </c>
      <c r="G5" s="10" t="n">
        <f aca="false">AVERAGE(B5:F5)</f>
        <v>5.9702</v>
      </c>
      <c r="H5" s="10" t="n">
        <f aca="false">MAX(B5:F5)-MIN(B5:F5)</f>
        <v>0.434</v>
      </c>
    </row>
    <row r="6" customFormat="false" ht="15" hidden="false" customHeight="false" outlineLevel="0" collapsed="false">
      <c r="A6" s="4" t="n">
        <v>2</v>
      </c>
      <c r="B6" s="10" t="n">
        <v>5.805</v>
      </c>
      <c r="C6" s="10" t="n">
        <v>6.019</v>
      </c>
      <c r="D6" s="10" t="n">
        <v>5.953</v>
      </c>
      <c r="E6" s="10" t="n">
        <v>5.997</v>
      </c>
      <c r="F6" s="10" t="n">
        <v>5.872</v>
      </c>
      <c r="G6" s="10" t="n">
        <f aca="false">AVERAGE(B6:F6)</f>
        <v>5.9292</v>
      </c>
      <c r="H6" s="10" t="n">
        <f aca="false">MAX(B6:F6)-MIN(B6:F6)</f>
        <v>0.214</v>
      </c>
    </row>
    <row r="7" customFormat="false" ht="15" hidden="false" customHeight="false" outlineLevel="0" collapsed="false">
      <c r="A7" s="4" t="n">
        <v>3</v>
      </c>
      <c r="B7" s="10" t="n">
        <v>6.132</v>
      </c>
      <c r="C7" s="10" t="n">
        <v>6.117</v>
      </c>
      <c r="D7" s="10" t="n">
        <v>6.01</v>
      </c>
      <c r="E7" s="10" t="n">
        <v>6.169</v>
      </c>
      <c r="F7" s="10" t="n">
        <v>6.07</v>
      </c>
      <c r="G7" s="10" t="n">
        <f aca="false">AVERAGE(B7:F7)</f>
        <v>6.0996</v>
      </c>
      <c r="H7" s="10" t="n">
        <f aca="false">MAX(B7:F7)-MIN(B7:F7)</f>
        <v>0.159</v>
      </c>
    </row>
    <row r="8" customFormat="false" ht="15" hidden="false" customHeight="false" outlineLevel="0" collapsed="false">
      <c r="A8" s="4" t="n">
        <v>4</v>
      </c>
      <c r="B8" s="10" t="n">
        <v>5.871</v>
      </c>
      <c r="C8" s="10" t="n">
        <v>6.055</v>
      </c>
      <c r="D8" s="10" t="n">
        <v>5.856</v>
      </c>
      <c r="E8" s="10" t="n">
        <v>6.132</v>
      </c>
      <c r="F8" s="10" t="n">
        <v>5.993</v>
      </c>
      <c r="G8" s="10" t="n">
        <f aca="false">AVERAGE(B8:F8)</f>
        <v>5.9814</v>
      </c>
      <c r="H8" s="10" t="n">
        <f aca="false">MAX(B8:F8)-MIN(B8:F8)</f>
        <v>0.276</v>
      </c>
    </row>
    <row r="9" customFormat="false" ht="15" hidden="false" customHeight="false" outlineLevel="0" collapsed="false">
      <c r="A9" s="4" t="n">
        <v>5</v>
      </c>
      <c r="B9" s="10" t="n">
        <v>5.972</v>
      </c>
      <c r="C9" s="10" t="n">
        <v>5.898</v>
      </c>
      <c r="D9" s="10" t="n">
        <v>6.183</v>
      </c>
      <c r="E9" s="10" t="n">
        <v>5.977</v>
      </c>
      <c r="F9" s="10" t="n">
        <v>5.936</v>
      </c>
      <c r="G9" s="10" t="n">
        <f aca="false">AVERAGE(B9:F9)</f>
        <v>5.9932</v>
      </c>
      <c r="H9" s="10" t="n">
        <f aca="false">MAX(B9:F9)-MIN(B9:F9)</f>
        <v>0.285</v>
      </c>
    </row>
    <row r="10" customFormat="false" ht="15" hidden="false" customHeight="false" outlineLevel="0" collapsed="false">
      <c r="A10" s="4" t="n">
        <v>6</v>
      </c>
      <c r="B10" s="10" t="n">
        <v>5.947</v>
      </c>
      <c r="C10" s="10" t="n">
        <v>6.08</v>
      </c>
      <c r="D10" s="10" t="n">
        <v>6.055</v>
      </c>
      <c r="E10" s="10" t="n">
        <v>6.062</v>
      </c>
      <c r="F10" s="10" t="n">
        <v>6.065</v>
      </c>
      <c r="G10" s="10" t="n">
        <f aca="false">AVERAGE(B10:F10)</f>
        <v>6.0418</v>
      </c>
      <c r="H10" s="10" t="n">
        <f aca="false">MAX(B10:F10)-MIN(B10:F10)</f>
        <v>0.133</v>
      </c>
    </row>
    <row r="11" customFormat="false" ht="15" hidden="false" customHeight="false" outlineLevel="0" collapsed="false">
      <c r="A11" s="4" t="n">
        <v>7</v>
      </c>
      <c r="B11" s="10" t="n">
        <v>6.321</v>
      </c>
      <c r="C11" s="10" t="n">
        <v>5.939</v>
      </c>
      <c r="D11" s="10" t="n">
        <v>5.923</v>
      </c>
      <c r="E11" s="10" t="n">
        <v>5.878</v>
      </c>
      <c r="F11" s="10" t="n">
        <v>6.092</v>
      </c>
      <c r="G11" s="10" t="n">
        <f aca="false">AVERAGE(B11:F11)</f>
        <v>6.0306</v>
      </c>
      <c r="H11" s="10" t="n">
        <f aca="false">MAX(B11:F11)-MIN(B11:F11)</f>
        <v>0.443</v>
      </c>
    </row>
    <row r="12" customFormat="false" ht="15" hidden="false" customHeight="false" outlineLevel="0" collapsed="false">
      <c r="A12" s="4" t="n">
        <v>8</v>
      </c>
      <c r="B12" s="10" t="n">
        <v>6.169</v>
      </c>
      <c r="C12" s="10" t="n">
        <v>5.983</v>
      </c>
      <c r="D12" s="10" t="n">
        <v>5.874</v>
      </c>
      <c r="E12" s="10" t="n">
        <v>5.876</v>
      </c>
      <c r="F12" s="10" t="n">
        <v>6.098</v>
      </c>
      <c r="G12" s="10" t="n">
        <f aca="false">AVERAGE(B12:F12)</f>
        <v>6</v>
      </c>
      <c r="H12" s="10" t="n">
        <f aca="false">MAX(B12:F12)-MIN(B12:F12)</f>
        <v>0.295</v>
      </c>
    </row>
    <row r="13" customFormat="false" ht="15" hidden="false" customHeight="false" outlineLevel="0" collapsed="false">
      <c r="A13" s="4" t="n">
        <v>9</v>
      </c>
      <c r="B13" s="10" t="n">
        <v>6.111</v>
      </c>
      <c r="C13" s="10" t="n">
        <v>6.081</v>
      </c>
      <c r="D13" s="10" t="n">
        <v>5.9</v>
      </c>
      <c r="E13" s="10" t="n">
        <v>6.035</v>
      </c>
      <c r="F13" s="10" t="n">
        <v>6.018</v>
      </c>
      <c r="G13" s="10" t="n">
        <f aca="false">AVERAGE(B13:F13)</f>
        <v>6.029</v>
      </c>
      <c r="H13" s="10" t="n">
        <f aca="false">MAX(B13:F13)-MIN(B13:F13)</f>
        <v>0.210999999999999</v>
      </c>
    </row>
    <row r="14" customFormat="false" ht="15" hidden="false" customHeight="false" outlineLevel="0" collapsed="false">
      <c r="A14" s="4" t="n">
        <v>10</v>
      </c>
      <c r="B14" s="10" t="n">
        <v>6.033</v>
      </c>
      <c r="C14" s="10" t="n">
        <v>6.131</v>
      </c>
      <c r="D14" s="10" t="n">
        <v>6.034</v>
      </c>
      <c r="E14" s="10" t="n">
        <v>6.102</v>
      </c>
      <c r="F14" s="10" t="n">
        <v>6.01</v>
      </c>
      <c r="G14" s="10" t="n">
        <f aca="false">AVERAGE(B14:F14)</f>
        <v>6.062</v>
      </c>
      <c r="H14" s="10" t="n">
        <f aca="false">MAX(B14:F14)-MIN(B14:F14)</f>
        <v>0.121</v>
      </c>
    </row>
    <row r="15" customFormat="false" ht="15" hidden="false" customHeight="false" outlineLevel="0" collapsed="false">
      <c r="A15" s="4" t="n">
        <v>11</v>
      </c>
      <c r="B15" s="10" t="n">
        <v>6.043</v>
      </c>
      <c r="C15" s="10" t="n">
        <v>6.095</v>
      </c>
      <c r="D15" s="10" t="n">
        <v>5.781</v>
      </c>
      <c r="E15" s="10" t="n">
        <v>5.952</v>
      </c>
      <c r="F15" s="10" t="n">
        <v>5.929</v>
      </c>
      <c r="G15" s="10" t="n">
        <f aca="false">AVERAGE(B15:F15)</f>
        <v>5.96</v>
      </c>
      <c r="H15" s="10" t="n">
        <f aca="false">MAX(B15:F15)-MIN(B15:F15)</f>
        <v>0.314</v>
      </c>
    </row>
    <row r="16" customFormat="false" ht="15" hidden="false" customHeight="false" outlineLevel="0" collapsed="false">
      <c r="A16" s="4" t="n">
        <v>12</v>
      </c>
      <c r="B16" s="10" t="n">
        <v>5.904</v>
      </c>
      <c r="C16" s="10" t="n">
        <v>5.959</v>
      </c>
      <c r="D16" s="10" t="n">
        <v>6.224</v>
      </c>
      <c r="E16" s="10" t="n">
        <v>5.87</v>
      </c>
      <c r="F16" s="10" t="n">
        <v>6.145</v>
      </c>
      <c r="G16" s="10" t="n">
        <f aca="false">AVERAGE(B16:F16)</f>
        <v>6.0204</v>
      </c>
      <c r="H16" s="10" t="n">
        <f aca="false">MAX(B16:F16)-MIN(B16:F16)</f>
        <v>0.354</v>
      </c>
    </row>
    <row r="17" customFormat="false" ht="15" hidden="false" customHeight="false" outlineLevel="0" collapsed="false">
      <c r="A17" s="4" t="n">
        <v>13</v>
      </c>
      <c r="B17" s="10" t="n">
        <v>5.748</v>
      </c>
      <c r="C17" s="10" t="n">
        <v>5.95</v>
      </c>
      <c r="D17" s="10" t="n">
        <v>6.024</v>
      </c>
      <c r="E17" s="10" t="n">
        <v>6.088</v>
      </c>
      <c r="F17" s="10" t="n">
        <v>6.107</v>
      </c>
      <c r="G17" s="10" t="n">
        <f aca="false">AVERAGE(B17:F17)</f>
        <v>5.9834</v>
      </c>
      <c r="H17" s="10" t="n">
        <f aca="false">MAX(B17:F17)-MIN(B17:F17)</f>
        <v>0.359</v>
      </c>
    </row>
    <row r="18" customFormat="false" ht="15" hidden="false" customHeight="false" outlineLevel="0" collapsed="false">
      <c r="A18" s="4" t="n">
        <v>14</v>
      </c>
      <c r="B18" s="10" t="n">
        <v>6.119</v>
      </c>
      <c r="C18" s="10" t="n">
        <v>5.948</v>
      </c>
      <c r="D18" s="10" t="n">
        <v>5.931</v>
      </c>
      <c r="E18" s="10" t="n">
        <v>6.129</v>
      </c>
      <c r="F18" s="10" t="n">
        <v>5.971</v>
      </c>
      <c r="G18" s="10" t="n">
        <f aca="false">AVERAGE(B18:F18)</f>
        <v>6.0196</v>
      </c>
      <c r="H18" s="10" t="n">
        <f aca="false">MAX(B18:F18)-MIN(B18:F18)</f>
        <v>0.198</v>
      </c>
    </row>
    <row r="19" customFormat="false" ht="15" hidden="false" customHeight="false" outlineLevel="0" collapsed="false">
      <c r="A19" s="4" t="n">
        <v>15</v>
      </c>
      <c r="B19" s="10" t="n">
        <v>5.809</v>
      </c>
      <c r="C19" s="10" t="n">
        <v>5.83</v>
      </c>
      <c r="D19" s="10" t="n">
        <v>5.862</v>
      </c>
      <c r="E19" s="10" t="n">
        <v>6.075</v>
      </c>
      <c r="F19" s="10" t="n">
        <v>6.021</v>
      </c>
      <c r="G19" s="10" t="n">
        <f aca="false">AVERAGE(B19:F19)</f>
        <v>5.9194</v>
      </c>
      <c r="H19" s="10" t="n">
        <f aca="false">MAX(B19:F19)-MIN(B19:F19)</f>
        <v>0.266</v>
      </c>
    </row>
    <row r="20" customFormat="false" ht="15" hidden="false" customHeight="false" outlineLevel="0" collapsed="false">
      <c r="A20" s="4" t="n">
        <v>16</v>
      </c>
      <c r="B20" s="10" t="n">
        <v>6.104</v>
      </c>
      <c r="C20" s="10" t="n">
        <v>5.936</v>
      </c>
      <c r="D20" s="10" t="n">
        <v>6.024</v>
      </c>
      <c r="E20" s="10" t="n">
        <v>6.094</v>
      </c>
      <c r="F20" s="10" t="n">
        <v>5.954</v>
      </c>
      <c r="G20" s="10" t="n">
        <f aca="false">AVERAGE(B20:F20)</f>
        <v>6.0224</v>
      </c>
      <c r="H20" s="10" t="n">
        <f aca="false">MAX(B20:F20)-MIN(B20:F20)</f>
        <v>0.168</v>
      </c>
    </row>
    <row r="21" customFormat="false" ht="15" hidden="false" customHeight="false" outlineLevel="0" collapsed="false">
      <c r="A21" s="4" t="n">
        <v>17</v>
      </c>
      <c r="B21" s="10" t="n">
        <v>6.069</v>
      </c>
      <c r="C21" s="10" t="n">
        <v>5.901</v>
      </c>
      <c r="D21" s="10" t="n">
        <v>5.946</v>
      </c>
      <c r="E21" s="10" t="n">
        <v>5.943</v>
      </c>
      <c r="F21" s="10" t="n">
        <v>5.821</v>
      </c>
      <c r="G21" s="10" t="n">
        <f aca="false">AVERAGE(B21:F21)</f>
        <v>5.936</v>
      </c>
      <c r="H21" s="10" t="n">
        <f aca="false">MAX(B21:F21)-MIN(B21:F21)</f>
        <v>0.248</v>
      </c>
    </row>
    <row r="22" customFormat="false" ht="15" hidden="false" customHeight="false" outlineLevel="0" collapsed="false">
      <c r="A22" s="4" t="n">
        <v>18</v>
      </c>
      <c r="B22" s="10" t="n">
        <v>6.073</v>
      </c>
      <c r="C22" s="10" t="n">
        <v>5.93</v>
      </c>
      <c r="D22" s="10" t="n">
        <v>6.002</v>
      </c>
      <c r="E22" s="10" t="n">
        <v>6.072</v>
      </c>
      <c r="F22" s="10" t="n">
        <v>6.067</v>
      </c>
      <c r="G22" s="10" t="n">
        <f aca="false">AVERAGE(B22:F22)</f>
        <v>6.0288</v>
      </c>
      <c r="H22" s="10" t="n">
        <f aca="false">MAX(B22:F22)-MIN(B22:F22)</f>
        <v>0.143000000000001</v>
      </c>
    </row>
    <row r="23" customFormat="false" ht="15" hidden="false" customHeight="false" outlineLevel="0" collapsed="false">
      <c r="A23" s="4" t="n">
        <v>19</v>
      </c>
      <c r="B23" s="10" t="n">
        <v>6.22</v>
      </c>
      <c r="C23" s="10" t="n">
        <v>6.105</v>
      </c>
      <c r="D23" s="10" t="n">
        <v>6.057</v>
      </c>
      <c r="E23" s="10" t="n">
        <v>6.108</v>
      </c>
      <c r="F23" s="10" t="n">
        <v>5.867</v>
      </c>
      <c r="G23" s="10" t="n">
        <f aca="false">AVERAGE(B23:F23)</f>
        <v>6.0714</v>
      </c>
      <c r="H23" s="10" t="n">
        <f aca="false">MAX(B23:F23)-MIN(B23:F23)</f>
        <v>0.353</v>
      </c>
    </row>
    <row r="24" customFormat="false" ht="15" hidden="false" customHeight="false" outlineLevel="0" collapsed="false">
      <c r="A24" s="4" t="n">
        <v>20</v>
      </c>
      <c r="B24" s="10" t="n">
        <v>5.903</v>
      </c>
      <c r="C24" s="10" t="n">
        <v>5.922</v>
      </c>
      <c r="D24" s="10" t="n">
        <v>5.97</v>
      </c>
      <c r="E24" s="10" t="n">
        <v>6.18</v>
      </c>
      <c r="F24" s="10" t="n">
        <v>5.984</v>
      </c>
      <c r="G24" s="10" t="n">
        <f aca="false">AVERAGE(B24:F24)</f>
        <v>5.9918</v>
      </c>
      <c r="H24" s="10" t="n">
        <f aca="false">MAX(B24:F24)-MIN(B24:F24)</f>
        <v>0.277</v>
      </c>
    </row>
    <row r="25" customFormat="false" ht="15" hidden="false" customHeight="false" outlineLevel="0" collapsed="false">
      <c r="A25" s="4" t="n">
        <v>21</v>
      </c>
      <c r="B25" s="10" t="n">
        <v>6.063</v>
      </c>
      <c r="C25" s="10" t="n">
        <v>6.315</v>
      </c>
      <c r="D25" s="10" t="n">
        <v>6.067</v>
      </c>
      <c r="E25" s="10" t="n">
        <v>6.231</v>
      </c>
      <c r="F25" s="10" t="n">
        <v>5.98</v>
      </c>
      <c r="G25" s="10" t="n">
        <f aca="false">AVERAGE(B25:F25)</f>
        <v>6.1312</v>
      </c>
      <c r="H25" s="10" t="n">
        <f aca="false">MAX(B25:F25)-MIN(B25:F25)</f>
        <v>0.335</v>
      </c>
    </row>
    <row r="26" customFormat="false" ht="15" hidden="false" customHeight="false" outlineLevel="0" collapsed="false">
      <c r="A26" s="4" t="n">
        <v>22</v>
      </c>
      <c r="B26" s="10" t="n">
        <v>6.089</v>
      </c>
      <c r="C26" s="10" t="n">
        <v>5.977</v>
      </c>
      <c r="D26" s="10" t="n">
        <v>6.069</v>
      </c>
      <c r="E26" s="10" t="n">
        <v>6.246</v>
      </c>
      <c r="F26" s="10" t="n">
        <v>5.861</v>
      </c>
      <c r="G26" s="10" t="n">
        <f aca="false">AVERAGE(B26:F26)</f>
        <v>6.0484</v>
      </c>
      <c r="H26" s="10" t="n">
        <f aca="false">MAX(B26:F26)-MIN(B26:F26)</f>
        <v>0.385000000000001</v>
      </c>
    </row>
    <row r="27" customFormat="false" ht="15" hidden="false" customHeight="false" outlineLevel="0" collapsed="false">
      <c r="A27" s="4" t="n">
        <v>23</v>
      </c>
      <c r="B27" s="10" t="n">
        <v>6.185</v>
      </c>
      <c r="C27" s="10" t="n">
        <v>6.156</v>
      </c>
      <c r="D27" s="10" t="n">
        <v>6.031</v>
      </c>
      <c r="E27" s="10" t="n">
        <v>5.903</v>
      </c>
      <c r="F27" s="10" t="n">
        <v>6.131</v>
      </c>
      <c r="G27" s="10" t="n">
        <f aca="false">AVERAGE(B27:F27)</f>
        <v>6.0812</v>
      </c>
      <c r="H27" s="10" t="n">
        <f aca="false">MAX(B27:F27)-MIN(B27:F27)</f>
        <v>0.282</v>
      </c>
    </row>
    <row r="28" customFormat="false" ht="15" hidden="false" customHeight="false" outlineLevel="0" collapsed="false">
      <c r="A28" s="4" t="n">
        <v>24</v>
      </c>
      <c r="B28" s="10" t="n">
        <v>6.041</v>
      </c>
      <c r="C28" s="10" t="n">
        <v>6.155</v>
      </c>
      <c r="D28" s="10" t="n">
        <v>6.123</v>
      </c>
      <c r="E28" s="10" t="n">
        <v>6.36</v>
      </c>
      <c r="F28" s="10" t="n">
        <v>6.084</v>
      </c>
      <c r="G28" s="10" t="n">
        <f aca="false">AVERAGE(B28:F28)</f>
        <v>6.1526</v>
      </c>
      <c r="H28" s="10" t="n">
        <f aca="false">MAX(B28:F28)-MIN(B28:F28)</f>
        <v>0.319</v>
      </c>
    </row>
    <row r="29" customFormat="false" ht="15" hidden="false" customHeight="false" outlineLevel="0" collapsed="false">
      <c r="A29" s="4" t="n">
        <v>25</v>
      </c>
      <c r="B29" s="10" t="n">
        <v>5.966</v>
      </c>
      <c r="C29" s="10" t="n">
        <v>6.147</v>
      </c>
      <c r="D29" s="10" t="n">
        <v>6.153</v>
      </c>
      <c r="E29" s="10" t="n">
        <v>6.324</v>
      </c>
      <c r="F29" s="10" t="n">
        <v>6.245</v>
      </c>
      <c r="G29" s="10" t="n">
        <f aca="false">AVERAGE(B29:F29)</f>
        <v>6.167</v>
      </c>
      <c r="H29" s="10" t="n">
        <f aca="false">MAX(B29:F29)-MIN(B29:F29)</f>
        <v>0.358</v>
      </c>
    </row>
    <row r="32" customFormat="false" ht="15" hidden="false" customHeight="false" outlineLevel="0" collapsed="false">
      <c r="A32" s="11" t="s">
        <v>19</v>
      </c>
      <c r="B32" s="11"/>
      <c r="C32" s="11"/>
      <c r="D32" s="11"/>
    </row>
    <row r="33" customFormat="false" ht="15" hidden="false" customHeight="false" outlineLevel="0" collapsed="false">
      <c r="A33" s="12" t="s">
        <v>20</v>
      </c>
      <c r="B33" s="13" t="n">
        <v>0.577</v>
      </c>
      <c r="C33" s="12" t="s">
        <v>21</v>
      </c>
      <c r="D33" s="13" t="n">
        <v>0</v>
      </c>
    </row>
    <row r="34" customFormat="false" ht="15" hidden="false" customHeight="false" outlineLevel="0" collapsed="false">
      <c r="A34" s="12" t="s">
        <v>22</v>
      </c>
      <c r="B34" s="13" t="n">
        <v>2.114</v>
      </c>
      <c r="D34" s="13"/>
    </row>
    <row r="36" customFormat="false" ht="15" hidden="false" customHeight="false" outlineLevel="0" collapsed="false">
      <c r="A36" s="12" t="s">
        <v>23</v>
      </c>
    </row>
    <row r="37" customFormat="false" ht="15" hidden="false" customHeight="false" outlineLevel="0" collapsed="false">
      <c r="A37" s="14" t="s">
        <v>24</v>
      </c>
      <c r="B37" s="15" t="n">
        <f aca="false">AVERAGE(G5:G29)</f>
        <v>6.026824</v>
      </c>
    </row>
    <row r="38" customFormat="false" ht="15" hidden="false" customHeight="false" outlineLevel="0" collapsed="false">
      <c r="A38" s="14" t="s">
        <v>25</v>
      </c>
      <c r="B38" s="15" t="n">
        <f aca="false">AVERAGE(H5:H29)</f>
        <v>0.2772</v>
      </c>
    </row>
    <row r="39" customFormat="false" ht="15" hidden="false" customHeight="false" outlineLevel="0" collapsed="false">
      <c r="A39" s="14" t="s">
        <v>26</v>
      </c>
      <c r="B39" s="15" t="n">
        <f aca="false">B37+B33*B38</f>
        <v>6.1867684</v>
      </c>
    </row>
    <row r="40" customFormat="false" ht="15" hidden="false" customHeight="false" outlineLevel="0" collapsed="false">
      <c r="A40" s="14" t="s">
        <v>27</v>
      </c>
      <c r="B40" s="15" t="n">
        <f aca="false">B37-B33*B38</f>
        <v>5.8668796</v>
      </c>
    </row>
    <row r="41" customFormat="false" ht="15" hidden="false" customHeight="false" outlineLevel="0" collapsed="false">
      <c r="A41" s="14" t="s">
        <v>28</v>
      </c>
      <c r="B41" s="15" t="n">
        <f aca="false">B37</f>
        <v>6.026824</v>
      </c>
    </row>
    <row r="42" customFormat="false" ht="15" hidden="false" customHeight="false" outlineLevel="0" collapsed="false">
      <c r="A42" s="14" t="s">
        <v>29</v>
      </c>
      <c r="B42" s="15" t="n">
        <f aca="false">D34*B38</f>
        <v>0</v>
      </c>
    </row>
    <row r="43" customFormat="false" ht="15" hidden="false" customHeight="false" outlineLevel="0" collapsed="false">
      <c r="A43" s="14" t="s">
        <v>30</v>
      </c>
      <c r="B43" s="15" t="n">
        <f aca="false">D33*B38</f>
        <v>0</v>
      </c>
    </row>
    <row r="44" customFormat="false" ht="15" hidden="false" customHeight="false" outlineLevel="0" collapsed="false">
      <c r="A44" s="14" t="s">
        <v>31</v>
      </c>
      <c r="B44" s="15" t="n">
        <f aca="false">B38</f>
        <v>0.2772</v>
      </c>
    </row>
  </sheetData>
  <mergeCells count="3">
    <mergeCell ref="A1:H1"/>
    <mergeCell ref="A2:H2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0"/>
  </cols>
  <sheetData>
    <row r="1" customFormat="false" ht="19.7" hidden="false" customHeight="false" outlineLevel="0" collapsed="false">
      <c r="A1" s="8" t="s">
        <v>32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7" t="s">
        <v>33</v>
      </c>
      <c r="B2" s="7"/>
      <c r="C2" s="7"/>
      <c r="D2" s="7"/>
      <c r="E2" s="7"/>
      <c r="F2" s="7"/>
      <c r="G2" s="7"/>
      <c r="H2" s="7"/>
    </row>
    <row r="4" customFormat="false" ht="26.85" hidden="false" customHeight="false" outlineLevel="0" collapsed="false">
      <c r="A4" s="9" t="s">
        <v>11</v>
      </c>
      <c r="B4" s="9" t="s">
        <v>34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9" t="s">
        <v>40</v>
      </c>
    </row>
    <row r="5" customFormat="false" ht="15" hidden="false" customHeight="false" outlineLevel="0" collapsed="false">
      <c r="A5" s="16" t="n">
        <f aca="false">Raw_SPC_Data!A5</f>
        <v>1</v>
      </c>
      <c r="B5" s="16" t="n">
        <f aca="false">Raw_SPC_Data!G5</f>
        <v>5.9702</v>
      </c>
      <c r="C5" s="16" t="n">
        <f aca="false">Raw_SPC_Data!H5</f>
        <v>0.434</v>
      </c>
      <c r="D5" s="16" t="n">
        <f aca="false">Raw_SPC_Data!$B$39</f>
        <v>6.1867684</v>
      </c>
      <c r="E5" s="16" t="n">
        <f aca="false">Raw_SPC_Data!$B$41</f>
        <v>6.026824</v>
      </c>
      <c r="F5" s="16" t="n">
        <f aca="false">Raw_SPC_Data!$B$40</f>
        <v>5.8668796</v>
      </c>
      <c r="G5" s="16" t="n">
        <f aca="false">Raw_SPC_Data!$B$42</f>
        <v>0</v>
      </c>
      <c r="H5" s="16" t="n">
        <f aca="false">Raw_SPC_Data!$B$43</f>
        <v>0</v>
      </c>
    </row>
    <row r="6" customFormat="false" ht="15" hidden="false" customHeight="false" outlineLevel="0" collapsed="false">
      <c r="A6" s="16" t="n">
        <f aca="false">Raw_SPC_Data!A6</f>
        <v>2</v>
      </c>
      <c r="B6" s="16" t="n">
        <f aca="false">Raw_SPC_Data!G6</f>
        <v>5.9292</v>
      </c>
      <c r="C6" s="16" t="n">
        <f aca="false">Raw_SPC_Data!H6</f>
        <v>0.214</v>
      </c>
      <c r="D6" s="16" t="n">
        <f aca="false">Raw_SPC_Data!$B$39</f>
        <v>6.1867684</v>
      </c>
      <c r="E6" s="16" t="n">
        <f aca="false">Raw_SPC_Data!$B$41</f>
        <v>6.026824</v>
      </c>
      <c r="F6" s="16" t="n">
        <f aca="false">Raw_SPC_Data!$B$40</f>
        <v>5.8668796</v>
      </c>
      <c r="G6" s="16" t="n">
        <f aca="false">Raw_SPC_Data!$B$42</f>
        <v>0</v>
      </c>
      <c r="H6" s="16" t="n">
        <f aca="false">Raw_SPC_Data!$B$43</f>
        <v>0</v>
      </c>
    </row>
    <row r="7" customFormat="false" ht="15" hidden="false" customHeight="false" outlineLevel="0" collapsed="false">
      <c r="A7" s="16" t="n">
        <f aca="false">Raw_SPC_Data!A7</f>
        <v>3</v>
      </c>
      <c r="B7" s="16" t="n">
        <f aca="false">Raw_SPC_Data!G7</f>
        <v>6.0996</v>
      </c>
      <c r="C7" s="16" t="n">
        <f aca="false">Raw_SPC_Data!H7</f>
        <v>0.159</v>
      </c>
      <c r="D7" s="16" t="n">
        <f aca="false">Raw_SPC_Data!$B$39</f>
        <v>6.1867684</v>
      </c>
      <c r="E7" s="16" t="n">
        <f aca="false">Raw_SPC_Data!$B$41</f>
        <v>6.026824</v>
      </c>
      <c r="F7" s="16" t="n">
        <f aca="false">Raw_SPC_Data!$B$40</f>
        <v>5.8668796</v>
      </c>
      <c r="G7" s="16" t="n">
        <f aca="false">Raw_SPC_Data!$B$42</f>
        <v>0</v>
      </c>
      <c r="H7" s="16" t="n">
        <f aca="false">Raw_SPC_Data!$B$43</f>
        <v>0</v>
      </c>
    </row>
    <row r="8" customFormat="false" ht="15" hidden="false" customHeight="false" outlineLevel="0" collapsed="false">
      <c r="A8" s="16" t="n">
        <f aca="false">Raw_SPC_Data!A8</f>
        <v>4</v>
      </c>
      <c r="B8" s="16" t="n">
        <f aca="false">Raw_SPC_Data!G8</f>
        <v>5.9814</v>
      </c>
      <c r="C8" s="16" t="n">
        <f aca="false">Raw_SPC_Data!H8</f>
        <v>0.276</v>
      </c>
      <c r="D8" s="16" t="n">
        <f aca="false">Raw_SPC_Data!$B$39</f>
        <v>6.1867684</v>
      </c>
      <c r="E8" s="16" t="n">
        <f aca="false">Raw_SPC_Data!$B$41</f>
        <v>6.026824</v>
      </c>
      <c r="F8" s="16" t="n">
        <f aca="false">Raw_SPC_Data!$B$40</f>
        <v>5.8668796</v>
      </c>
      <c r="G8" s="16" t="n">
        <f aca="false">Raw_SPC_Data!$B$42</f>
        <v>0</v>
      </c>
      <c r="H8" s="16" t="n">
        <f aca="false">Raw_SPC_Data!$B$43</f>
        <v>0</v>
      </c>
    </row>
    <row r="9" customFormat="false" ht="15" hidden="false" customHeight="false" outlineLevel="0" collapsed="false">
      <c r="A9" s="16" t="n">
        <f aca="false">Raw_SPC_Data!A9</f>
        <v>5</v>
      </c>
      <c r="B9" s="16" t="n">
        <f aca="false">Raw_SPC_Data!G9</f>
        <v>5.9932</v>
      </c>
      <c r="C9" s="16" t="n">
        <f aca="false">Raw_SPC_Data!H9</f>
        <v>0.285</v>
      </c>
      <c r="D9" s="16" t="n">
        <f aca="false">Raw_SPC_Data!$B$39</f>
        <v>6.1867684</v>
      </c>
      <c r="E9" s="16" t="n">
        <f aca="false">Raw_SPC_Data!$B$41</f>
        <v>6.026824</v>
      </c>
      <c r="F9" s="16" t="n">
        <f aca="false">Raw_SPC_Data!$B$40</f>
        <v>5.8668796</v>
      </c>
      <c r="G9" s="16" t="n">
        <f aca="false">Raw_SPC_Data!$B$42</f>
        <v>0</v>
      </c>
      <c r="H9" s="16" t="n">
        <f aca="false">Raw_SPC_Data!$B$43</f>
        <v>0</v>
      </c>
    </row>
    <row r="10" customFormat="false" ht="15" hidden="false" customHeight="false" outlineLevel="0" collapsed="false">
      <c r="A10" s="16" t="n">
        <f aca="false">Raw_SPC_Data!A10</f>
        <v>6</v>
      </c>
      <c r="B10" s="16" t="n">
        <f aca="false">Raw_SPC_Data!G10</f>
        <v>6.0418</v>
      </c>
      <c r="C10" s="16" t="n">
        <f aca="false">Raw_SPC_Data!H10</f>
        <v>0.133</v>
      </c>
      <c r="D10" s="16" t="n">
        <f aca="false">Raw_SPC_Data!$B$39</f>
        <v>6.1867684</v>
      </c>
      <c r="E10" s="16" t="n">
        <f aca="false">Raw_SPC_Data!$B$41</f>
        <v>6.026824</v>
      </c>
      <c r="F10" s="16" t="n">
        <f aca="false">Raw_SPC_Data!$B$40</f>
        <v>5.8668796</v>
      </c>
      <c r="G10" s="16" t="n">
        <f aca="false">Raw_SPC_Data!$B$42</f>
        <v>0</v>
      </c>
      <c r="H10" s="16" t="n">
        <f aca="false">Raw_SPC_Data!$B$43</f>
        <v>0</v>
      </c>
    </row>
    <row r="11" customFormat="false" ht="15" hidden="false" customHeight="false" outlineLevel="0" collapsed="false">
      <c r="A11" s="16" t="n">
        <f aca="false">Raw_SPC_Data!A11</f>
        <v>7</v>
      </c>
      <c r="B11" s="16" t="n">
        <f aca="false">Raw_SPC_Data!G11</f>
        <v>6.0306</v>
      </c>
      <c r="C11" s="16" t="n">
        <f aca="false">Raw_SPC_Data!H11</f>
        <v>0.443</v>
      </c>
      <c r="D11" s="16" t="n">
        <f aca="false">Raw_SPC_Data!$B$39</f>
        <v>6.1867684</v>
      </c>
      <c r="E11" s="16" t="n">
        <f aca="false">Raw_SPC_Data!$B$41</f>
        <v>6.026824</v>
      </c>
      <c r="F11" s="16" t="n">
        <f aca="false">Raw_SPC_Data!$B$40</f>
        <v>5.8668796</v>
      </c>
      <c r="G11" s="16" t="n">
        <f aca="false">Raw_SPC_Data!$B$42</f>
        <v>0</v>
      </c>
      <c r="H11" s="16" t="n">
        <f aca="false">Raw_SPC_Data!$B$43</f>
        <v>0</v>
      </c>
    </row>
    <row r="12" customFormat="false" ht="15" hidden="false" customHeight="false" outlineLevel="0" collapsed="false">
      <c r="A12" s="16" t="n">
        <f aca="false">Raw_SPC_Data!A12</f>
        <v>8</v>
      </c>
      <c r="B12" s="16" t="n">
        <f aca="false">Raw_SPC_Data!G12</f>
        <v>6</v>
      </c>
      <c r="C12" s="16" t="n">
        <f aca="false">Raw_SPC_Data!H12</f>
        <v>0.295</v>
      </c>
      <c r="D12" s="16" t="n">
        <f aca="false">Raw_SPC_Data!$B$39</f>
        <v>6.1867684</v>
      </c>
      <c r="E12" s="16" t="n">
        <f aca="false">Raw_SPC_Data!$B$41</f>
        <v>6.026824</v>
      </c>
      <c r="F12" s="16" t="n">
        <f aca="false">Raw_SPC_Data!$B$40</f>
        <v>5.8668796</v>
      </c>
      <c r="G12" s="16" t="n">
        <f aca="false">Raw_SPC_Data!$B$42</f>
        <v>0</v>
      </c>
      <c r="H12" s="16" t="n">
        <f aca="false">Raw_SPC_Data!$B$43</f>
        <v>0</v>
      </c>
    </row>
    <row r="13" customFormat="false" ht="15" hidden="false" customHeight="false" outlineLevel="0" collapsed="false">
      <c r="A13" s="16" t="n">
        <f aca="false">Raw_SPC_Data!A13</f>
        <v>9</v>
      </c>
      <c r="B13" s="16" t="n">
        <f aca="false">Raw_SPC_Data!G13</f>
        <v>6.029</v>
      </c>
      <c r="C13" s="16" t="n">
        <f aca="false">Raw_SPC_Data!H13</f>
        <v>0.210999999999999</v>
      </c>
      <c r="D13" s="16" t="n">
        <f aca="false">Raw_SPC_Data!$B$39</f>
        <v>6.1867684</v>
      </c>
      <c r="E13" s="16" t="n">
        <f aca="false">Raw_SPC_Data!$B$41</f>
        <v>6.026824</v>
      </c>
      <c r="F13" s="16" t="n">
        <f aca="false">Raw_SPC_Data!$B$40</f>
        <v>5.8668796</v>
      </c>
      <c r="G13" s="16" t="n">
        <f aca="false">Raw_SPC_Data!$B$42</f>
        <v>0</v>
      </c>
      <c r="H13" s="16" t="n">
        <f aca="false">Raw_SPC_Data!$B$43</f>
        <v>0</v>
      </c>
    </row>
    <row r="14" customFormat="false" ht="15" hidden="false" customHeight="false" outlineLevel="0" collapsed="false">
      <c r="A14" s="16" t="n">
        <f aca="false">Raw_SPC_Data!A14</f>
        <v>10</v>
      </c>
      <c r="B14" s="16" t="n">
        <f aca="false">Raw_SPC_Data!G14</f>
        <v>6.062</v>
      </c>
      <c r="C14" s="16" t="n">
        <f aca="false">Raw_SPC_Data!H14</f>
        <v>0.121</v>
      </c>
      <c r="D14" s="16" t="n">
        <f aca="false">Raw_SPC_Data!$B$39</f>
        <v>6.1867684</v>
      </c>
      <c r="E14" s="16" t="n">
        <f aca="false">Raw_SPC_Data!$B$41</f>
        <v>6.026824</v>
      </c>
      <c r="F14" s="16" t="n">
        <f aca="false">Raw_SPC_Data!$B$40</f>
        <v>5.8668796</v>
      </c>
      <c r="G14" s="16" t="n">
        <f aca="false">Raw_SPC_Data!$B$42</f>
        <v>0</v>
      </c>
      <c r="H14" s="16" t="n">
        <f aca="false">Raw_SPC_Data!$B$43</f>
        <v>0</v>
      </c>
    </row>
    <row r="15" customFormat="false" ht="15" hidden="false" customHeight="false" outlineLevel="0" collapsed="false">
      <c r="A15" s="16" t="n">
        <f aca="false">Raw_SPC_Data!A15</f>
        <v>11</v>
      </c>
      <c r="B15" s="16" t="n">
        <f aca="false">Raw_SPC_Data!G15</f>
        <v>5.96</v>
      </c>
      <c r="C15" s="16" t="n">
        <f aca="false">Raw_SPC_Data!H15</f>
        <v>0.314</v>
      </c>
      <c r="D15" s="16" t="n">
        <f aca="false">Raw_SPC_Data!$B$39</f>
        <v>6.1867684</v>
      </c>
      <c r="E15" s="16" t="n">
        <f aca="false">Raw_SPC_Data!$B$41</f>
        <v>6.026824</v>
      </c>
      <c r="F15" s="16" t="n">
        <f aca="false">Raw_SPC_Data!$B$40</f>
        <v>5.8668796</v>
      </c>
      <c r="G15" s="16" t="n">
        <f aca="false">Raw_SPC_Data!$B$42</f>
        <v>0</v>
      </c>
      <c r="H15" s="16" t="n">
        <f aca="false">Raw_SPC_Data!$B$43</f>
        <v>0</v>
      </c>
    </row>
    <row r="16" customFormat="false" ht="15" hidden="false" customHeight="false" outlineLevel="0" collapsed="false">
      <c r="A16" s="16" t="n">
        <f aca="false">Raw_SPC_Data!A16</f>
        <v>12</v>
      </c>
      <c r="B16" s="16" t="n">
        <f aca="false">Raw_SPC_Data!G16</f>
        <v>6.0204</v>
      </c>
      <c r="C16" s="16" t="n">
        <f aca="false">Raw_SPC_Data!H16</f>
        <v>0.354</v>
      </c>
      <c r="D16" s="16" t="n">
        <f aca="false">Raw_SPC_Data!$B$39</f>
        <v>6.1867684</v>
      </c>
      <c r="E16" s="16" t="n">
        <f aca="false">Raw_SPC_Data!$B$41</f>
        <v>6.026824</v>
      </c>
      <c r="F16" s="16" t="n">
        <f aca="false">Raw_SPC_Data!$B$40</f>
        <v>5.8668796</v>
      </c>
      <c r="G16" s="16" t="n">
        <f aca="false">Raw_SPC_Data!$B$42</f>
        <v>0</v>
      </c>
      <c r="H16" s="16" t="n">
        <f aca="false">Raw_SPC_Data!$B$43</f>
        <v>0</v>
      </c>
    </row>
    <row r="17" customFormat="false" ht="15" hidden="false" customHeight="false" outlineLevel="0" collapsed="false">
      <c r="A17" s="16" t="n">
        <f aca="false">Raw_SPC_Data!A17</f>
        <v>13</v>
      </c>
      <c r="B17" s="16" t="n">
        <f aca="false">Raw_SPC_Data!G17</f>
        <v>5.9834</v>
      </c>
      <c r="C17" s="16" t="n">
        <f aca="false">Raw_SPC_Data!H17</f>
        <v>0.359</v>
      </c>
      <c r="D17" s="16" t="n">
        <f aca="false">Raw_SPC_Data!$B$39</f>
        <v>6.1867684</v>
      </c>
      <c r="E17" s="16" t="n">
        <f aca="false">Raw_SPC_Data!$B$41</f>
        <v>6.026824</v>
      </c>
      <c r="F17" s="16" t="n">
        <f aca="false">Raw_SPC_Data!$B$40</f>
        <v>5.8668796</v>
      </c>
      <c r="G17" s="16" t="n">
        <f aca="false">Raw_SPC_Data!$B$42</f>
        <v>0</v>
      </c>
      <c r="H17" s="16" t="n">
        <f aca="false">Raw_SPC_Data!$B$43</f>
        <v>0</v>
      </c>
    </row>
    <row r="18" customFormat="false" ht="15" hidden="false" customHeight="false" outlineLevel="0" collapsed="false">
      <c r="A18" s="16" t="n">
        <f aca="false">Raw_SPC_Data!A18</f>
        <v>14</v>
      </c>
      <c r="B18" s="16" t="n">
        <f aca="false">Raw_SPC_Data!G18</f>
        <v>6.0196</v>
      </c>
      <c r="C18" s="16" t="n">
        <f aca="false">Raw_SPC_Data!H18</f>
        <v>0.198</v>
      </c>
      <c r="D18" s="16" t="n">
        <f aca="false">Raw_SPC_Data!$B$39</f>
        <v>6.1867684</v>
      </c>
      <c r="E18" s="16" t="n">
        <f aca="false">Raw_SPC_Data!$B$41</f>
        <v>6.026824</v>
      </c>
      <c r="F18" s="16" t="n">
        <f aca="false">Raw_SPC_Data!$B$40</f>
        <v>5.8668796</v>
      </c>
      <c r="G18" s="16" t="n">
        <f aca="false">Raw_SPC_Data!$B$42</f>
        <v>0</v>
      </c>
      <c r="H18" s="16" t="n">
        <f aca="false">Raw_SPC_Data!$B$43</f>
        <v>0</v>
      </c>
    </row>
    <row r="19" customFormat="false" ht="15" hidden="false" customHeight="false" outlineLevel="0" collapsed="false">
      <c r="A19" s="16" t="n">
        <f aca="false">Raw_SPC_Data!A19</f>
        <v>15</v>
      </c>
      <c r="B19" s="16" t="n">
        <f aca="false">Raw_SPC_Data!G19</f>
        <v>5.9194</v>
      </c>
      <c r="C19" s="16" t="n">
        <f aca="false">Raw_SPC_Data!H19</f>
        <v>0.266</v>
      </c>
      <c r="D19" s="16" t="n">
        <f aca="false">Raw_SPC_Data!$B$39</f>
        <v>6.1867684</v>
      </c>
      <c r="E19" s="16" t="n">
        <f aca="false">Raw_SPC_Data!$B$41</f>
        <v>6.026824</v>
      </c>
      <c r="F19" s="16" t="n">
        <f aca="false">Raw_SPC_Data!$B$40</f>
        <v>5.8668796</v>
      </c>
      <c r="G19" s="16" t="n">
        <f aca="false">Raw_SPC_Data!$B$42</f>
        <v>0</v>
      </c>
      <c r="H19" s="16" t="n">
        <f aca="false">Raw_SPC_Data!$B$43</f>
        <v>0</v>
      </c>
    </row>
    <row r="20" customFormat="false" ht="15" hidden="false" customHeight="false" outlineLevel="0" collapsed="false">
      <c r="A20" s="16" t="n">
        <f aca="false">Raw_SPC_Data!A20</f>
        <v>16</v>
      </c>
      <c r="B20" s="16" t="n">
        <f aca="false">Raw_SPC_Data!G20</f>
        <v>6.0224</v>
      </c>
      <c r="C20" s="16" t="n">
        <f aca="false">Raw_SPC_Data!H20</f>
        <v>0.168</v>
      </c>
      <c r="D20" s="16" t="n">
        <f aca="false">Raw_SPC_Data!$B$39</f>
        <v>6.1867684</v>
      </c>
      <c r="E20" s="16" t="n">
        <f aca="false">Raw_SPC_Data!$B$41</f>
        <v>6.026824</v>
      </c>
      <c r="F20" s="16" t="n">
        <f aca="false">Raw_SPC_Data!$B$40</f>
        <v>5.8668796</v>
      </c>
      <c r="G20" s="16" t="n">
        <f aca="false">Raw_SPC_Data!$B$42</f>
        <v>0</v>
      </c>
      <c r="H20" s="16" t="n">
        <f aca="false">Raw_SPC_Data!$B$43</f>
        <v>0</v>
      </c>
    </row>
    <row r="21" customFormat="false" ht="15" hidden="false" customHeight="false" outlineLevel="0" collapsed="false">
      <c r="A21" s="16" t="n">
        <f aca="false">Raw_SPC_Data!A21</f>
        <v>17</v>
      </c>
      <c r="B21" s="16" t="n">
        <f aca="false">Raw_SPC_Data!G21</f>
        <v>5.936</v>
      </c>
      <c r="C21" s="16" t="n">
        <f aca="false">Raw_SPC_Data!H21</f>
        <v>0.248</v>
      </c>
      <c r="D21" s="16" t="n">
        <f aca="false">Raw_SPC_Data!$B$39</f>
        <v>6.1867684</v>
      </c>
      <c r="E21" s="16" t="n">
        <f aca="false">Raw_SPC_Data!$B$41</f>
        <v>6.026824</v>
      </c>
      <c r="F21" s="16" t="n">
        <f aca="false">Raw_SPC_Data!$B$40</f>
        <v>5.8668796</v>
      </c>
      <c r="G21" s="16" t="n">
        <f aca="false">Raw_SPC_Data!$B$42</f>
        <v>0</v>
      </c>
      <c r="H21" s="16" t="n">
        <f aca="false">Raw_SPC_Data!$B$43</f>
        <v>0</v>
      </c>
    </row>
    <row r="22" customFormat="false" ht="15" hidden="false" customHeight="false" outlineLevel="0" collapsed="false">
      <c r="A22" s="16" t="n">
        <f aca="false">Raw_SPC_Data!A22</f>
        <v>18</v>
      </c>
      <c r="B22" s="16" t="n">
        <f aca="false">Raw_SPC_Data!G22</f>
        <v>6.0288</v>
      </c>
      <c r="C22" s="16" t="n">
        <f aca="false">Raw_SPC_Data!H22</f>
        <v>0.143000000000001</v>
      </c>
      <c r="D22" s="16" t="n">
        <f aca="false">Raw_SPC_Data!$B$39</f>
        <v>6.1867684</v>
      </c>
      <c r="E22" s="16" t="n">
        <f aca="false">Raw_SPC_Data!$B$41</f>
        <v>6.026824</v>
      </c>
      <c r="F22" s="16" t="n">
        <f aca="false">Raw_SPC_Data!$B$40</f>
        <v>5.8668796</v>
      </c>
      <c r="G22" s="16" t="n">
        <f aca="false">Raw_SPC_Data!$B$42</f>
        <v>0</v>
      </c>
      <c r="H22" s="16" t="n">
        <f aca="false">Raw_SPC_Data!$B$43</f>
        <v>0</v>
      </c>
    </row>
    <row r="23" customFormat="false" ht="15" hidden="false" customHeight="false" outlineLevel="0" collapsed="false">
      <c r="A23" s="16" t="n">
        <f aca="false">Raw_SPC_Data!A23</f>
        <v>19</v>
      </c>
      <c r="B23" s="16" t="n">
        <f aca="false">Raw_SPC_Data!G23</f>
        <v>6.0714</v>
      </c>
      <c r="C23" s="16" t="n">
        <f aca="false">Raw_SPC_Data!H23</f>
        <v>0.353</v>
      </c>
      <c r="D23" s="16" t="n">
        <f aca="false">Raw_SPC_Data!$B$39</f>
        <v>6.1867684</v>
      </c>
      <c r="E23" s="16" t="n">
        <f aca="false">Raw_SPC_Data!$B$41</f>
        <v>6.026824</v>
      </c>
      <c r="F23" s="16" t="n">
        <f aca="false">Raw_SPC_Data!$B$40</f>
        <v>5.8668796</v>
      </c>
      <c r="G23" s="16" t="n">
        <f aca="false">Raw_SPC_Data!$B$42</f>
        <v>0</v>
      </c>
      <c r="H23" s="16" t="n">
        <f aca="false">Raw_SPC_Data!$B$43</f>
        <v>0</v>
      </c>
    </row>
    <row r="24" customFormat="false" ht="15" hidden="false" customHeight="false" outlineLevel="0" collapsed="false">
      <c r="A24" s="16" t="n">
        <f aca="false">Raw_SPC_Data!A24</f>
        <v>20</v>
      </c>
      <c r="B24" s="16" t="n">
        <f aca="false">Raw_SPC_Data!G24</f>
        <v>5.9918</v>
      </c>
      <c r="C24" s="16" t="n">
        <f aca="false">Raw_SPC_Data!H24</f>
        <v>0.277</v>
      </c>
      <c r="D24" s="16" t="n">
        <f aca="false">Raw_SPC_Data!$B$39</f>
        <v>6.1867684</v>
      </c>
      <c r="E24" s="16" t="n">
        <f aca="false">Raw_SPC_Data!$B$41</f>
        <v>6.026824</v>
      </c>
      <c r="F24" s="16" t="n">
        <f aca="false">Raw_SPC_Data!$B$40</f>
        <v>5.8668796</v>
      </c>
      <c r="G24" s="16" t="n">
        <f aca="false">Raw_SPC_Data!$B$42</f>
        <v>0</v>
      </c>
      <c r="H24" s="16" t="n">
        <f aca="false">Raw_SPC_Data!$B$43</f>
        <v>0</v>
      </c>
    </row>
    <row r="25" customFormat="false" ht="15" hidden="false" customHeight="false" outlineLevel="0" collapsed="false">
      <c r="A25" s="16" t="n">
        <f aca="false">Raw_SPC_Data!A25</f>
        <v>21</v>
      </c>
      <c r="B25" s="16" t="n">
        <f aca="false">Raw_SPC_Data!G25</f>
        <v>6.1312</v>
      </c>
      <c r="C25" s="16" t="n">
        <f aca="false">Raw_SPC_Data!H25</f>
        <v>0.335</v>
      </c>
      <c r="D25" s="16" t="n">
        <f aca="false">Raw_SPC_Data!$B$39</f>
        <v>6.1867684</v>
      </c>
      <c r="E25" s="16" t="n">
        <f aca="false">Raw_SPC_Data!$B$41</f>
        <v>6.026824</v>
      </c>
      <c r="F25" s="16" t="n">
        <f aca="false">Raw_SPC_Data!$B$40</f>
        <v>5.8668796</v>
      </c>
      <c r="G25" s="16" t="n">
        <f aca="false">Raw_SPC_Data!$B$42</f>
        <v>0</v>
      </c>
      <c r="H25" s="16" t="n">
        <f aca="false">Raw_SPC_Data!$B$43</f>
        <v>0</v>
      </c>
    </row>
    <row r="26" customFormat="false" ht="15" hidden="false" customHeight="false" outlineLevel="0" collapsed="false">
      <c r="A26" s="16" t="n">
        <f aca="false">Raw_SPC_Data!A26</f>
        <v>22</v>
      </c>
      <c r="B26" s="16" t="n">
        <f aca="false">Raw_SPC_Data!G26</f>
        <v>6.0484</v>
      </c>
      <c r="C26" s="16" t="n">
        <f aca="false">Raw_SPC_Data!H26</f>
        <v>0.385000000000001</v>
      </c>
      <c r="D26" s="16" t="n">
        <f aca="false">Raw_SPC_Data!$B$39</f>
        <v>6.1867684</v>
      </c>
      <c r="E26" s="16" t="n">
        <f aca="false">Raw_SPC_Data!$B$41</f>
        <v>6.026824</v>
      </c>
      <c r="F26" s="16" t="n">
        <f aca="false">Raw_SPC_Data!$B$40</f>
        <v>5.8668796</v>
      </c>
      <c r="G26" s="16" t="n">
        <f aca="false">Raw_SPC_Data!$B$42</f>
        <v>0</v>
      </c>
      <c r="H26" s="16" t="n">
        <f aca="false">Raw_SPC_Data!$B$43</f>
        <v>0</v>
      </c>
    </row>
    <row r="27" customFormat="false" ht="15" hidden="false" customHeight="false" outlineLevel="0" collapsed="false">
      <c r="A27" s="16" t="n">
        <f aca="false">Raw_SPC_Data!A27</f>
        <v>23</v>
      </c>
      <c r="B27" s="16" t="n">
        <f aca="false">Raw_SPC_Data!G27</f>
        <v>6.0812</v>
      </c>
      <c r="C27" s="16" t="n">
        <f aca="false">Raw_SPC_Data!H27</f>
        <v>0.282</v>
      </c>
      <c r="D27" s="16" t="n">
        <f aca="false">Raw_SPC_Data!$B$39</f>
        <v>6.1867684</v>
      </c>
      <c r="E27" s="16" t="n">
        <f aca="false">Raw_SPC_Data!$B$41</f>
        <v>6.026824</v>
      </c>
      <c r="F27" s="16" t="n">
        <f aca="false">Raw_SPC_Data!$B$40</f>
        <v>5.8668796</v>
      </c>
      <c r="G27" s="16" t="n">
        <f aca="false">Raw_SPC_Data!$B$42</f>
        <v>0</v>
      </c>
      <c r="H27" s="16" t="n">
        <f aca="false">Raw_SPC_Data!$B$43</f>
        <v>0</v>
      </c>
    </row>
    <row r="28" customFormat="false" ht="15" hidden="false" customHeight="false" outlineLevel="0" collapsed="false">
      <c r="A28" s="16" t="n">
        <f aca="false">Raw_SPC_Data!A28</f>
        <v>24</v>
      </c>
      <c r="B28" s="16" t="n">
        <f aca="false">Raw_SPC_Data!G28</f>
        <v>6.1526</v>
      </c>
      <c r="C28" s="16" t="n">
        <f aca="false">Raw_SPC_Data!H28</f>
        <v>0.319</v>
      </c>
      <c r="D28" s="16" t="n">
        <f aca="false">Raw_SPC_Data!$B$39</f>
        <v>6.1867684</v>
      </c>
      <c r="E28" s="16" t="n">
        <f aca="false">Raw_SPC_Data!$B$41</f>
        <v>6.026824</v>
      </c>
      <c r="F28" s="16" t="n">
        <f aca="false">Raw_SPC_Data!$B$40</f>
        <v>5.8668796</v>
      </c>
      <c r="G28" s="16" t="n">
        <f aca="false">Raw_SPC_Data!$B$42</f>
        <v>0</v>
      </c>
      <c r="H28" s="16" t="n">
        <f aca="false">Raw_SPC_Data!$B$43</f>
        <v>0</v>
      </c>
    </row>
    <row r="29" customFormat="false" ht="15" hidden="false" customHeight="false" outlineLevel="0" collapsed="false">
      <c r="A29" s="16" t="n">
        <f aca="false">Raw_SPC_Data!A29</f>
        <v>25</v>
      </c>
      <c r="B29" s="16" t="n">
        <f aca="false">Raw_SPC_Data!G29</f>
        <v>6.167</v>
      </c>
      <c r="C29" s="16" t="n">
        <f aca="false">Raw_SPC_Data!H29</f>
        <v>0.358</v>
      </c>
      <c r="D29" s="16" t="n">
        <f aca="false">Raw_SPC_Data!$B$39</f>
        <v>6.1867684</v>
      </c>
      <c r="E29" s="16" t="n">
        <f aca="false">Raw_SPC_Data!$B$41</f>
        <v>6.026824</v>
      </c>
      <c r="F29" s="16" t="n">
        <f aca="false">Raw_SPC_Data!$B$40</f>
        <v>5.8668796</v>
      </c>
      <c r="G29" s="16" t="n">
        <f aca="false">Raw_SPC_Data!$B$42</f>
        <v>0</v>
      </c>
      <c r="H29" s="16" t="n">
        <f aca="false">Raw_SPC_Data!$B$43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32"/>
  </cols>
  <sheetData>
    <row r="1" customFormat="false" ht="19.7" hidden="false" customHeight="false" outlineLevel="0" collapsed="false">
      <c r="A1" s="8" t="s">
        <v>41</v>
      </c>
      <c r="B1" s="8"/>
      <c r="C1" s="8"/>
      <c r="D1" s="8"/>
    </row>
    <row r="2" customFormat="false" ht="15" hidden="false" customHeight="false" outlineLevel="0" collapsed="false">
      <c r="A2" s="7" t="s">
        <v>42</v>
      </c>
      <c r="B2" s="7"/>
      <c r="C2" s="7"/>
      <c r="D2" s="7"/>
    </row>
    <row r="4" customFormat="false" ht="15" hidden="false" customHeight="false" outlineLevel="0" collapsed="false">
      <c r="A4" s="9" t="s">
        <v>43</v>
      </c>
      <c r="B4" s="9" t="s">
        <v>44</v>
      </c>
      <c r="C4" s="9" t="s">
        <v>45</v>
      </c>
      <c r="D4" s="9" t="s">
        <v>46</v>
      </c>
    </row>
    <row r="5" customFormat="false" ht="15" hidden="false" customHeight="false" outlineLevel="0" collapsed="false">
      <c r="A5" s="14" t="n">
        <v>1</v>
      </c>
      <c r="B5" s="14" t="s">
        <v>47</v>
      </c>
      <c r="C5" s="14" t="s">
        <v>48</v>
      </c>
      <c r="D5" s="14" t="s">
        <v>49</v>
      </c>
    </row>
    <row r="6" customFormat="false" ht="15" hidden="false" customHeight="false" outlineLevel="0" collapsed="false">
      <c r="A6" s="14" t="n">
        <v>2</v>
      </c>
      <c r="B6" s="14" t="s">
        <v>50</v>
      </c>
      <c r="C6" s="14" t="s">
        <v>48</v>
      </c>
      <c r="D6" s="14" t="s">
        <v>51</v>
      </c>
    </row>
    <row r="7" customFormat="false" ht="15" hidden="false" customHeight="false" outlineLevel="0" collapsed="false">
      <c r="A7" s="14" t="n">
        <v>3</v>
      </c>
      <c r="B7" s="14" t="s">
        <v>52</v>
      </c>
      <c r="C7" s="14" t="s">
        <v>53</v>
      </c>
      <c r="D7" s="14" t="s">
        <v>54</v>
      </c>
    </row>
    <row r="8" customFormat="false" ht="15" hidden="false" customHeight="false" outlineLevel="0" collapsed="false">
      <c r="A8" s="14" t="n">
        <v>4</v>
      </c>
      <c r="B8" s="14" t="s">
        <v>55</v>
      </c>
      <c r="C8" s="14" t="s">
        <v>53</v>
      </c>
      <c r="D8" s="14" t="s">
        <v>49</v>
      </c>
    </row>
    <row r="9" customFormat="false" ht="15" hidden="false" customHeight="false" outlineLevel="0" collapsed="false">
      <c r="A9" s="14" t="n">
        <v>5</v>
      </c>
      <c r="B9" s="14" t="s">
        <v>56</v>
      </c>
      <c r="C9" s="14" t="s">
        <v>57</v>
      </c>
      <c r="D9" s="14" t="s">
        <v>49</v>
      </c>
    </row>
    <row r="10" customFormat="false" ht="15" hidden="false" customHeight="false" outlineLevel="0" collapsed="false">
      <c r="A10" s="14" t="n">
        <v>6</v>
      </c>
      <c r="B10" s="14" t="s">
        <v>58</v>
      </c>
      <c r="C10" s="14" t="s">
        <v>57</v>
      </c>
      <c r="D10" s="14" t="s">
        <v>51</v>
      </c>
    </row>
    <row r="11" customFormat="false" ht="15" hidden="false" customHeight="false" outlineLevel="0" collapsed="false">
      <c r="A11" s="14" t="n">
        <v>7</v>
      </c>
      <c r="B11" s="14" t="s">
        <v>59</v>
      </c>
      <c r="C11" s="14" t="s">
        <v>53</v>
      </c>
      <c r="D11" s="14" t="s">
        <v>49</v>
      </c>
    </row>
    <row r="12" customFormat="false" ht="15" hidden="false" customHeight="false" outlineLevel="0" collapsed="false">
      <c r="A12" s="14" t="n">
        <v>8</v>
      </c>
      <c r="B12" s="14" t="s">
        <v>60</v>
      </c>
      <c r="C12" s="14" t="s">
        <v>57</v>
      </c>
      <c r="D12" s="14" t="s">
        <v>51</v>
      </c>
    </row>
    <row r="13" customFormat="false" ht="15" hidden="false" customHeight="false" outlineLevel="0" collapsed="false">
      <c r="A13" s="14" t="n">
        <v>9</v>
      </c>
      <c r="B13" s="14" t="s">
        <v>61</v>
      </c>
      <c r="C13" s="14" t="s">
        <v>53</v>
      </c>
      <c r="D13" s="14" t="s">
        <v>51</v>
      </c>
    </row>
    <row r="14" customFormat="false" ht="15" hidden="false" customHeight="false" outlineLevel="0" collapsed="false">
      <c r="A14" s="14" t="n">
        <v>10</v>
      </c>
      <c r="B14" s="14" t="s">
        <v>62</v>
      </c>
      <c r="C14" s="14" t="s">
        <v>48</v>
      </c>
      <c r="D14" s="14" t="s">
        <v>49</v>
      </c>
    </row>
    <row r="15" customFormat="false" ht="15" hidden="false" customHeight="false" outlineLevel="0" collapsed="false">
      <c r="A15" s="14" t="n">
        <v>11</v>
      </c>
      <c r="B15" s="14" t="s">
        <v>63</v>
      </c>
      <c r="C15" s="14" t="s">
        <v>53</v>
      </c>
      <c r="D15" s="14" t="s">
        <v>51</v>
      </c>
    </row>
    <row r="16" customFormat="false" ht="15" hidden="false" customHeight="false" outlineLevel="0" collapsed="false">
      <c r="A16" s="14" t="n">
        <v>12</v>
      </c>
      <c r="B16" s="14" t="s">
        <v>64</v>
      </c>
      <c r="C16" s="14" t="s">
        <v>57</v>
      </c>
      <c r="D16" s="14" t="s">
        <v>49</v>
      </c>
    </row>
    <row r="17" customFormat="false" ht="15" hidden="false" customHeight="false" outlineLevel="0" collapsed="false">
      <c r="A17" s="14" t="n">
        <v>13</v>
      </c>
      <c r="B17" s="14" t="s">
        <v>61</v>
      </c>
      <c r="C17" s="14" t="s">
        <v>48</v>
      </c>
      <c r="D17" s="14" t="s">
        <v>54</v>
      </c>
    </row>
    <row r="18" customFormat="false" ht="15" hidden="false" customHeight="false" outlineLevel="0" collapsed="false">
      <c r="A18" s="14" t="n">
        <v>14</v>
      </c>
      <c r="B18" s="14" t="s">
        <v>65</v>
      </c>
      <c r="C18" s="14" t="s">
        <v>48</v>
      </c>
      <c r="D18" s="14" t="s">
        <v>51</v>
      </c>
    </row>
    <row r="19" customFormat="false" ht="15" hidden="false" customHeight="false" outlineLevel="0" collapsed="false">
      <c r="A19" s="14" t="n">
        <v>15</v>
      </c>
      <c r="B19" s="14" t="s">
        <v>66</v>
      </c>
      <c r="C19" s="14" t="s">
        <v>48</v>
      </c>
      <c r="D19" s="14" t="s">
        <v>67</v>
      </c>
    </row>
    <row r="20" customFormat="false" ht="15" hidden="false" customHeight="false" outlineLevel="0" collapsed="false">
      <c r="A20" s="14" t="n">
        <v>16</v>
      </c>
      <c r="B20" s="14" t="s">
        <v>68</v>
      </c>
      <c r="C20" s="14" t="s">
        <v>57</v>
      </c>
      <c r="D20" s="14" t="s">
        <v>67</v>
      </c>
    </row>
    <row r="21" customFormat="false" ht="15" hidden="false" customHeight="false" outlineLevel="0" collapsed="false">
      <c r="A21" s="14" t="n">
        <v>17</v>
      </c>
      <c r="B21" s="14" t="s">
        <v>69</v>
      </c>
      <c r="C21" s="14" t="s">
        <v>48</v>
      </c>
      <c r="D21" s="14" t="s">
        <v>67</v>
      </c>
    </row>
    <row r="22" customFormat="false" ht="15" hidden="false" customHeight="false" outlineLevel="0" collapsed="false">
      <c r="A22" s="14" t="n">
        <v>18</v>
      </c>
      <c r="B22" s="14" t="s">
        <v>70</v>
      </c>
      <c r="C22" s="14" t="s">
        <v>48</v>
      </c>
      <c r="D22" s="14" t="s">
        <v>54</v>
      </c>
    </row>
    <row r="23" customFormat="false" ht="15" hidden="false" customHeight="false" outlineLevel="0" collapsed="false">
      <c r="A23" s="14" t="n">
        <v>19</v>
      </c>
      <c r="B23" s="14" t="s">
        <v>71</v>
      </c>
      <c r="C23" s="14" t="s">
        <v>53</v>
      </c>
      <c r="D23" s="14" t="s">
        <v>49</v>
      </c>
    </row>
    <row r="24" customFormat="false" ht="15" hidden="false" customHeight="false" outlineLevel="0" collapsed="false">
      <c r="A24" s="14" t="n">
        <v>20</v>
      </c>
      <c r="B24" s="14" t="s">
        <v>65</v>
      </c>
      <c r="C24" s="14" t="s">
        <v>57</v>
      </c>
      <c r="D24" s="14" t="s">
        <v>49</v>
      </c>
    </row>
    <row r="25" customFormat="false" ht="15" hidden="false" customHeight="false" outlineLevel="0" collapsed="false">
      <c r="A25" s="14" t="n">
        <v>21</v>
      </c>
      <c r="B25" s="14" t="s">
        <v>62</v>
      </c>
      <c r="C25" s="14" t="s">
        <v>48</v>
      </c>
      <c r="D25" s="14" t="s">
        <v>67</v>
      </c>
    </row>
    <row r="26" customFormat="false" ht="15" hidden="false" customHeight="false" outlineLevel="0" collapsed="false">
      <c r="A26" s="14" t="n">
        <v>22</v>
      </c>
      <c r="B26" s="14" t="s">
        <v>72</v>
      </c>
      <c r="C26" s="14" t="s">
        <v>48</v>
      </c>
      <c r="D26" s="14" t="s">
        <v>73</v>
      </c>
    </row>
    <row r="27" customFormat="false" ht="15" hidden="false" customHeight="false" outlineLevel="0" collapsed="false">
      <c r="A27" s="14" t="n">
        <v>23</v>
      </c>
      <c r="B27" s="14" t="s">
        <v>74</v>
      </c>
      <c r="C27" s="14" t="s">
        <v>48</v>
      </c>
      <c r="D27" s="14" t="s">
        <v>51</v>
      </c>
    </row>
    <row r="28" customFormat="false" ht="15" hidden="false" customHeight="false" outlineLevel="0" collapsed="false">
      <c r="A28" s="14" t="n">
        <v>24</v>
      </c>
      <c r="B28" s="14" t="s">
        <v>75</v>
      </c>
      <c r="C28" s="14" t="s">
        <v>48</v>
      </c>
      <c r="D28" s="14" t="s">
        <v>73</v>
      </c>
    </row>
    <row r="29" customFormat="false" ht="15" hidden="false" customHeight="false" outlineLevel="0" collapsed="false">
      <c r="A29" s="14" t="n">
        <v>25</v>
      </c>
      <c r="B29" s="14" t="s">
        <v>76</v>
      </c>
      <c r="C29" s="14" t="s">
        <v>53</v>
      </c>
      <c r="D29" s="14" t="s">
        <v>49</v>
      </c>
    </row>
    <row r="30" customFormat="false" ht="15" hidden="false" customHeight="false" outlineLevel="0" collapsed="false">
      <c r="A30" s="14" t="n">
        <v>26</v>
      </c>
      <c r="B30" s="14" t="s">
        <v>56</v>
      </c>
      <c r="C30" s="14" t="s">
        <v>57</v>
      </c>
      <c r="D30" s="14" t="s">
        <v>73</v>
      </c>
    </row>
    <row r="31" customFormat="false" ht="15" hidden="false" customHeight="false" outlineLevel="0" collapsed="false">
      <c r="A31" s="14" t="n">
        <v>27</v>
      </c>
      <c r="B31" s="14" t="s">
        <v>63</v>
      </c>
      <c r="C31" s="14" t="s">
        <v>57</v>
      </c>
      <c r="D31" s="14" t="s">
        <v>67</v>
      </c>
    </row>
    <row r="32" customFormat="false" ht="15" hidden="false" customHeight="false" outlineLevel="0" collapsed="false">
      <c r="A32" s="14" t="n">
        <v>28</v>
      </c>
      <c r="B32" s="14" t="s">
        <v>77</v>
      </c>
      <c r="C32" s="14" t="s">
        <v>53</v>
      </c>
      <c r="D32" s="14" t="s">
        <v>54</v>
      </c>
    </row>
    <row r="33" customFormat="false" ht="15" hidden="false" customHeight="false" outlineLevel="0" collapsed="false">
      <c r="A33" s="14" t="n">
        <v>29</v>
      </c>
      <c r="B33" s="14" t="s">
        <v>78</v>
      </c>
      <c r="C33" s="14" t="s">
        <v>57</v>
      </c>
      <c r="D33" s="14" t="s">
        <v>49</v>
      </c>
    </row>
    <row r="34" customFormat="false" ht="15" hidden="false" customHeight="false" outlineLevel="0" collapsed="false">
      <c r="A34" s="14" t="n">
        <v>30</v>
      </c>
      <c r="B34" s="14" t="s">
        <v>79</v>
      </c>
      <c r="C34" s="14" t="s">
        <v>53</v>
      </c>
      <c r="D34" s="14" t="s">
        <v>67</v>
      </c>
    </row>
    <row r="35" customFormat="false" ht="15" hidden="false" customHeight="false" outlineLevel="0" collapsed="false">
      <c r="A35" s="14" t="n">
        <v>31</v>
      </c>
      <c r="B35" s="14" t="s">
        <v>80</v>
      </c>
      <c r="C35" s="14" t="s">
        <v>57</v>
      </c>
      <c r="D35" s="14" t="s">
        <v>49</v>
      </c>
    </row>
    <row r="36" customFormat="false" ht="15" hidden="false" customHeight="false" outlineLevel="0" collapsed="false">
      <c r="A36" s="14" t="n">
        <v>32</v>
      </c>
      <c r="B36" s="14" t="s">
        <v>81</v>
      </c>
      <c r="C36" s="14" t="s">
        <v>57</v>
      </c>
      <c r="D36" s="14" t="s">
        <v>49</v>
      </c>
    </row>
    <row r="37" customFormat="false" ht="15" hidden="false" customHeight="false" outlineLevel="0" collapsed="false">
      <c r="A37" s="14" t="n">
        <v>33</v>
      </c>
      <c r="B37" s="14" t="s">
        <v>78</v>
      </c>
      <c r="C37" s="14" t="s">
        <v>48</v>
      </c>
      <c r="D37" s="14" t="s">
        <v>49</v>
      </c>
    </row>
    <row r="38" customFormat="false" ht="15" hidden="false" customHeight="false" outlineLevel="0" collapsed="false">
      <c r="A38" s="14" t="n">
        <v>34</v>
      </c>
      <c r="B38" s="14" t="s">
        <v>82</v>
      </c>
      <c r="C38" s="14" t="s">
        <v>48</v>
      </c>
      <c r="D38" s="14" t="s">
        <v>54</v>
      </c>
    </row>
    <row r="39" customFormat="false" ht="15" hidden="false" customHeight="false" outlineLevel="0" collapsed="false">
      <c r="A39" s="14" t="n">
        <v>35</v>
      </c>
      <c r="B39" s="14" t="s">
        <v>83</v>
      </c>
      <c r="C39" s="14" t="s">
        <v>53</v>
      </c>
      <c r="D39" s="14" t="s">
        <v>49</v>
      </c>
    </row>
    <row r="40" customFormat="false" ht="15" hidden="false" customHeight="false" outlineLevel="0" collapsed="false">
      <c r="A40" s="14" t="n">
        <v>36</v>
      </c>
      <c r="B40" s="14" t="s">
        <v>84</v>
      </c>
      <c r="C40" s="14" t="s">
        <v>48</v>
      </c>
      <c r="D40" s="14" t="s">
        <v>54</v>
      </c>
    </row>
    <row r="41" customFormat="false" ht="15" hidden="false" customHeight="false" outlineLevel="0" collapsed="false">
      <c r="A41" s="14" t="n">
        <v>37</v>
      </c>
      <c r="B41" s="14" t="s">
        <v>52</v>
      </c>
      <c r="C41" s="14" t="s">
        <v>57</v>
      </c>
      <c r="D41" s="14" t="s">
        <v>49</v>
      </c>
    </row>
    <row r="42" customFormat="false" ht="15" hidden="false" customHeight="false" outlineLevel="0" collapsed="false">
      <c r="A42" s="14" t="n">
        <v>38</v>
      </c>
      <c r="B42" s="14" t="s">
        <v>85</v>
      </c>
      <c r="C42" s="14" t="s">
        <v>53</v>
      </c>
      <c r="D42" s="14" t="s">
        <v>73</v>
      </c>
    </row>
    <row r="43" customFormat="false" ht="15" hidden="false" customHeight="false" outlineLevel="0" collapsed="false">
      <c r="A43" s="14" t="n">
        <v>39</v>
      </c>
      <c r="B43" s="14" t="s">
        <v>86</v>
      </c>
      <c r="C43" s="14" t="s">
        <v>48</v>
      </c>
      <c r="D43" s="14" t="s">
        <v>49</v>
      </c>
    </row>
    <row r="44" customFormat="false" ht="15" hidden="false" customHeight="false" outlineLevel="0" collapsed="false">
      <c r="A44" s="14" t="n">
        <v>40</v>
      </c>
      <c r="B44" s="14" t="s">
        <v>59</v>
      </c>
      <c r="C44" s="14" t="s">
        <v>48</v>
      </c>
      <c r="D44" s="14" t="s">
        <v>49</v>
      </c>
    </row>
    <row r="45" customFormat="false" ht="15" hidden="false" customHeight="false" outlineLevel="0" collapsed="false">
      <c r="A45" s="14" t="n">
        <v>41</v>
      </c>
      <c r="B45" s="14" t="s">
        <v>70</v>
      </c>
      <c r="C45" s="14" t="s">
        <v>48</v>
      </c>
      <c r="D45" s="14" t="s">
        <v>67</v>
      </c>
    </row>
    <row r="46" customFormat="false" ht="15" hidden="false" customHeight="false" outlineLevel="0" collapsed="false">
      <c r="A46" s="14" t="n">
        <v>42</v>
      </c>
      <c r="B46" s="14" t="s">
        <v>87</v>
      </c>
      <c r="C46" s="14" t="s">
        <v>57</v>
      </c>
      <c r="D46" s="14" t="s">
        <v>51</v>
      </c>
    </row>
    <row r="47" customFormat="false" ht="15" hidden="false" customHeight="false" outlineLevel="0" collapsed="false">
      <c r="A47" s="14" t="n">
        <v>43</v>
      </c>
      <c r="B47" s="14" t="s">
        <v>88</v>
      </c>
      <c r="C47" s="14" t="s">
        <v>48</v>
      </c>
      <c r="D47" s="14" t="s">
        <v>51</v>
      </c>
    </row>
    <row r="48" customFormat="false" ht="15" hidden="false" customHeight="false" outlineLevel="0" collapsed="false">
      <c r="A48" s="14" t="n">
        <v>44</v>
      </c>
      <c r="B48" s="14" t="s">
        <v>78</v>
      </c>
      <c r="C48" s="14" t="s">
        <v>57</v>
      </c>
      <c r="D48" s="14" t="s">
        <v>67</v>
      </c>
    </row>
    <row r="49" customFormat="false" ht="15" hidden="false" customHeight="false" outlineLevel="0" collapsed="false">
      <c r="A49" s="14" t="n">
        <v>45</v>
      </c>
      <c r="B49" s="14" t="s">
        <v>89</v>
      </c>
      <c r="C49" s="14" t="s">
        <v>48</v>
      </c>
      <c r="D49" s="14" t="s">
        <v>67</v>
      </c>
    </row>
    <row r="50" customFormat="false" ht="15" hidden="false" customHeight="false" outlineLevel="0" collapsed="false">
      <c r="A50" s="14" t="n">
        <v>46</v>
      </c>
      <c r="B50" s="14" t="s">
        <v>90</v>
      </c>
      <c r="C50" s="14" t="s">
        <v>57</v>
      </c>
      <c r="D50" s="14" t="s">
        <v>49</v>
      </c>
    </row>
    <row r="51" customFormat="false" ht="15" hidden="false" customHeight="false" outlineLevel="0" collapsed="false">
      <c r="A51" s="14" t="n">
        <v>47</v>
      </c>
      <c r="B51" s="14" t="s">
        <v>70</v>
      </c>
      <c r="C51" s="14" t="s">
        <v>48</v>
      </c>
      <c r="D51" s="14" t="s">
        <v>51</v>
      </c>
    </row>
    <row r="52" customFormat="false" ht="15" hidden="false" customHeight="false" outlineLevel="0" collapsed="false">
      <c r="A52" s="14" t="n">
        <v>48</v>
      </c>
      <c r="B52" s="14" t="s">
        <v>91</v>
      </c>
      <c r="C52" s="14" t="s">
        <v>53</v>
      </c>
      <c r="D52" s="14" t="s">
        <v>51</v>
      </c>
    </row>
    <row r="53" customFormat="false" ht="15" hidden="false" customHeight="false" outlineLevel="0" collapsed="false">
      <c r="A53" s="14" t="n">
        <v>49</v>
      </c>
      <c r="B53" s="14" t="s">
        <v>92</v>
      </c>
      <c r="C53" s="14" t="s">
        <v>48</v>
      </c>
      <c r="D53" s="14" t="s">
        <v>73</v>
      </c>
    </row>
    <row r="54" customFormat="false" ht="15" hidden="false" customHeight="false" outlineLevel="0" collapsed="false">
      <c r="A54" s="14" t="n">
        <v>50</v>
      </c>
      <c r="B54" s="14" t="s">
        <v>85</v>
      </c>
      <c r="C54" s="14" t="s">
        <v>48</v>
      </c>
      <c r="D54" s="14" t="s">
        <v>54</v>
      </c>
    </row>
    <row r="55" customFormat="false" ht="15" hidden="false" customHeight="false" outlineLevel="0" collapsed="false">
      <c r="A55" s="14" t="n">
        <v>51</v>
      </c>
      <c r="B55" s="14" t="s">
        <v>71</v>
      </c>
      <c r="C55" s="14" t="s">
        <v>53</v>
      </c>
      <c r="D55" s="14" t="s">
        <v>51</v>
      </c>
    </row>
    <row r="56" customFormat="false" ht="15" hidden="false" customHeight="false" outlineLevel="0" collapsed="false">
      <c r="A56" s="14" t="n">
        <v>52</v>
      </c>
      <c r="B56" s="14" t="s">
        <v>68</v>
      </c>
      <c r="C56" s="14" t="s">
        <v>48</v>
      </c>
      <c r="D56" s="14" t="s">
        <v>49</v>
      </c>
    </row>
    <row r="57" customFormat="false" ht="15" hidden="false" customHeight="false" outlineLevel="0" collapsed="false">
      <c r="A57" s="14" t="n">
        <v>53</v>
      </c>
      <c r="B57" s="14" t="s">
        <v>81</v>
      </c>
      <c r="C57" s="14" t="s">
        <v>57</v>
      </c>
      <c r="D57" s="14" t="s">
        <v>51</v>
      </c>
    </row>
    <row r="58" customFormat="false" ht="15" hidden="false" customHeight="false" outlineLevel="0" collapsed="false">
      <c r="A58" s="14" t="n">
        <v>54</v>
      </c>
      <c r="B58" s="14" t="s">
        <v>75</v>
      </c>
      <c r="C58" s="14" t="s">
        <v>57</v>
      </c>
      <c r="D58" s="14" t="s">
        <v>51</v>
      </c>
    </row>
    <row r="59" customFormat="false" ht="15" hidden="false" customHeight="false" outlineLevel="0" collapsed="false">
      <c r="A59" s="14" t="n">
        <v>55</v>
      </c>
      <c r="B59" s="14" t="s">
        <v>88</v>
      </c>
      <c r="C59" s="14" t="s">
        <v>53</v>
      </c>
      <c r="D59" s="14" t="s">
        <v>67</v>
      </c>
    </row>
    <row r="60" customFormat="false" ht="15" hidden="false" customHeight="false" outlineLevel="0" collapsed="false">
      <c r="A60" s="14" t="n">
        <v>56</v>
      </c>
      <c r="B60" s="14" t="s">
        <v>63</v>
      </c>
      <c r="C60" s="14" t="s">
        <v>48</v>
      </c>
      <c r="D60" s="14" t="s">
        <v>67</v>
      </c>
    </row>
    <row r="61" customFormat="false" ht="15" hidden="false" customHeight="false" outlineLevel="0" collapsed="false">
      <c r="A61" s="14" t="n">
        <v>57</v>
      </c>
      <c r="B61" s="14" t="s">
        <v>76</v>
      </c>
      <c r="C61" s="14" t="s">
        <v>57</v>
      </c>
      <c r="D61" s="14" t="s">
        <v>49</v>
      </c>
    </row>
    <row r="62" customFormat="false" ht="15" hidden="false" customHeight="false" outlineLevel="0" collapsed="false">
      <c r="A62" s="14" t="n">
        <v>58</v>
      </c>
      <c r="B62" s="14" t="s">
        <v>93</v>
      </c>
      <c r="C62" s="14" t="s">
        <v>48</v>
      </c>
      <c r="D62" s="14" t="s">
        <v>67</v>
      </c>
    </row>
    <row r="63" customFormat="false" ht="15" hidden="false" customHeight="false" outlineLevel="0" collapsed="false">
      <c r="A63" s="14" t="n">
        <v>59</v>
      </c>
      <c r="B63" s="14" t="s">
        <v>94</v>
      </c>
      <c r="C63" s="14" t="s">
        <v>53</v>
      </c>
      <c r="D63" s="14" t="s">
        <v>51</v>
      </c>
    </row>
    <row r="64" customFormat="false" ht="15" hidden="false" customHeight="false" outlineLevel="0" collapsed="false">
      <c r="A64" s="14" t="n">
        <v>60</v>
      </c>
      <c r="B64" s="14" t="s">
        <v>94</v>
      </c>
      <c r="C64" s="14" t="s">
        <v>53</v>
      </c>
      <c r="D64" s="14" t="s">
        <v>54</v>
      </c>
    </row>
    <row r="65" customFormat="false" ht="15" hidden="false" customHeight="false" outlineLevel="0" collapsed="false">
      <c r="A65" s="14" t="n">
        <v>61</v>
      </c>
      <c r="B65" s="14" t="s">
        <v>66</v>
      </c>
      <c r="C65" s="14" t="s">
        <v>53</v>
      </c>
      <c r="D65" s="14" t="s">
        <v>51</v>
      </c>
    </row>
    <row r="66" customFormat="false" ht="15" hidden="false" customHeight="false" outlineLevel="0" collapsed="false">
      <c r="A66" s="14" t="n">
        <v>62</v>
      </c>
      <c r="B66" s="14" t="s">
        <v>77</v>
      </c>
      <c r="C66" s="14" t="s">
        <v>53</v>
      </c>
      <c r="D66" s="14" t="s">
        <v>51</v>
      </c>
    </row>
    <row r="67" customFormat="false" ht="15" hidden="false" customHeight="false" outlineLevel="0" collapsed="false">
      <c r="A67" s="14" t="n">
        <v>63</v>
      </c>
      <c r="B67" s="14" t="s">
        <v>59</v>
      </c>
      <c r="C67" s="14" t="s">
        <v>53</v>
      </c>
      <c r="D67" s="14" t="s">
        <v>54</v>
      </c>
    </row>
    <row r="68" customFormat="false" ht="15" hidden="false" customHeight="false" outlineLevel="0" collapsed="false">
      <c r="A68" s="14" t="n">
        <v>64</v>
      </c>
      <c r="B68" s="14" t="s">
        <v>59</v>
      </c>
      <c r="C68" s="14" t="s">
        <v>48</v>
      </c>
      <c r="D68" s="14" t="s">
        <v>49</v>
      </c>
    </row>
    <row r="69" customFormat="false" ht="15" hidden="false" customHeight="false" outlineLevel="0" collapsed="false">
      <c r="A69" s="14" t="n">
        <v>65</v>
      </c>
      <c r="B69" s="14" t="s">
        <v>63</v>
      </c>
      <c r="C69" s="14" t="s">
        <v>57</v>
      </c>
      <c r="D69" s="14" t="s">
        <v>67</v>
      </c>
    </row>
    <row r="70" customFormat="false" ht="15" hidden="false" customHeight="false" outlineLevel="0" collapsed="false">
      <c r="A70" s="14" t="n">
        <v>66</v>
      </c>
      <c r="B70" s="14" t="s">
        <v>95</v>
      </c>
      <c r="C70" s="14" t="s">
        <v>48</v>
      </c>
      <c r="D70" s="14" t="s">
        <v>49</v>
      </c>
    </row>
    <row r="71" customFormat="false" ht="15" hidden="false" customHeight="false" outlineLevel="0" collapsed="false">
      <c r="A71" s="14" t="n">
        <v>67</v>
      </c>
      <c r="B71" s="14" t="s">
        <v>64</v>
      </c>
      <c r="C71" s="14" t="s">
        <v>48</v>
      </c>
      <c r="D71" s="14" t="s">
        <v>51</v>
      </c>
    </row>
    <row r="72" customFormat="false" ht="15" hidden="false" customHeight="false" outlineLevel="0" collapsed="false">
      <c r="A72" s="14" t="n">
        <v>68</v>
      </c>
      <c r="B72" s="14" t="s">
        <v>69</v>
      </c>
      <c r="C72" s="14" t="s">
        <v>48</v>
      </c>
      <c r="D72" s="14" t="s">
        <v>54</v>
      </c>
    </row>
    <row r="73" customFormat="false" ht="15" hidden="false" customHeight="false" outlineLevel="0" collapsed="false">
      <c r="A73" s="14" t="n">
        <v>69</v>
      </c>
      <c r="B73" s="14" t="s">
        <v>74</v>
      </c>
      <c r="C73" s="14" t="s">
        <v>57</v>
      </c>
      <c r="D73" s="14" t="s">
        <v>49</v>
      </c>
    </row>
    <row r="74" customFormat="false" ht="15" hidden="false" customHeight="false" outlineLevel="0" collapsed="false">
      <c r="A74" s="14" t="n">
        <v>70</v>
      </c>
      <c r="B74" s="14" t="s">
        <v>56</v>
      </c>
      <c r="C74" s="14" t="s">
        <v>48</v>
      </c>
      <c r="D74" s="14" t="s">
        <v>49</v>
      </c>
    </row>
    <row r="75" customFormat="false" ht="15" hidden="false" customHeight="false" outlineLevel="0" collapsed="false">
      <c r="A75" s="14" t="n">
        <v>71</v>
      </c>
      <c r="B75" s="14" t="s">
        <v>93</v>
      </c>
      <c r="C75" s="14" t="s">
        <v>48</v>
      </c>
      <c r="D75" s="14" t="s">
        <v>49</v>
      </c>
    </row>
    <row r="76" customFormat="false" ht="15" hidden="false" customHeight="false" outlineLevel="0" collapsed="false">
      <c r="A76" s="14" t="n">
        <v>72</v>
      </c>
      <c r="B76" s="14" t="s">
        <v>96</v>
      </c>
      <c r="C76" s="14" t="s">
        <v>48</v>
      </c>
      <c r="D76" s="14" t="s">
        <v>49</v>
      </c>
    </row>
    <row r="77" customFormat="false" ht="15" hidden="false" customHeight="false" outlineLevel="0" collapsed="false">
      <c r="A77" s="14" t="n">
        <v>73</v>
      </c>
      <c r="B77" s="14" t="s">
        <v>89</v>
      </c>
      <c r="C77" s="14" t="s">
        <v>48</v>
      </c>
      <c r="D77" s="14" t="s">
        <v>49</v>
      </c>
    </row>
    <row r="78" customFormat="false" ht="15" hidden="false" customHeight="false" outlineLevel="0" collapsed="false">
      <c r="A78" s="14" t="n">
        <v>74</v>
      </c>
      <c r="B78" s="14" t="s">
        <v>91</v>
      </c>
      <c r="C78" s="14" t="s">
        <v>57</v>
      </c>
      <c r="D78" s="14" t="s">
        <v>51</v>
      </c>
    </row>
    <row r="79" customFormat="false" ht="15" hidden="false" customHeight="false" outlineLevel="0" collapsed="false">
      <c r="A79" s="14" t="n">
        <v>75</v>
      </c>
      <c r="B79" s="14" t="s">
        <v>89</v>
      </c>
      <c r="C79" s="14" t="s">
        <v>48</v>
      </c>
      <c r="D79" s="14" t="s">
        <v>51</v>
      </c>
    </row>
    <row r="80" customFormat="false" ht="15" hidden="false" customHeight="false" outlineLevel="0" collapsed="false">
      <c r="A80" s="14" t="n">
        <v>76</v>
      </c>
      <c r="B80" s="14" t="s">
        <v>80</v>
      </c>
      <c r="C80" s="14" t="s">
        <v>57</v>
      </c>
      <c r="D80" s="14" t="s">
        <v>51</v>
      </c>
    </row>
    <row r="81" customFormat="false" ht="15" hidden="false" customHeight="false" outlineLevel="0" collapsed="false">
      <c r="A81" s="14" t="n">
        <v>77</v>
      </c>
      <c r="B81" s="14" t="s">
        <v>61</v>
      </c>
      <c r="C81" s="14" t="s">
        <v>48</v>
      </c>
      <c r="D81" s="14" t="s">
        <v>54</v>
      </c>
    </row>
    <row r="82" customFormat="false" ht="15" hidden="false" customHeight="false" outlineLevel="0" collapsed="false">
      <c r="A82" s="14" t="n">
        <v>78</v>
      </c>
      <c r="B82" s="14" t="s">
        <v>82</v>
      </c>
      <c r="C82" s="14" t="s">
        <v>48</v>
      </c>
      <c r="D82" s="14" t="s">
        <v>49</v>
      </c>
    </row>
    <row r="83" customFormat="false" ht="15" hidden="false" customHeight="false" outlineLevel="0" collapsed="false">
      <c r="A83" s="14" t="n">
        <v>79</v>
      </c>
      <c r="B83" s="14" t="s">
        <v>72</v>
      </c>
      <c r="C83" s="14" t="s">
        <v>53</v>
      </c>
      <c r="D83" s="14" t="s">
        <v>49</v>
      </c>
    </row>
    <row r="84" customFormat="false" ht="15" hidden="false" customHeight="false" outlineLevel="0" collapsed="false">
      <c r="A84" s="14" t="n">
        <v>80</v>
      </c>
      <c r="B84" s="14" t="s">
        <v>59</v>
      </c>
      <c r="C84" s="14" t="s">
        <v>48</v>
      </c>
      <c r="D84" s="14" t="s">
        <v>51</v>
      </c>
    </row>
    <row r="85" customFormat="false" ht="15" hidden="false" customHeight="false" outlineLevel="0" collapsed="false">
      <c r="A85" s="14" t="n">
        <v>81</v>
      </c>
      <c r="B85" s="14" t="s">
        <v>87</v>
      </c>
      <c r="C85" s="14" t="s">
        <v>53</v>
      </c>
      <c r="D85" s="14" t="s">
        <v>49</v>
      </c>
    </row>
    <row r="86" customFormat="false" ht="15" hidden="false" customHeight="false" outlineLevel="0" collapsed="false">
      <c r="A86" s="14" t="n">
        <v>82</v>
      </c>
      <c r="B86" s="14" t="s">
        <v>97</v>
      </c>
      <c r="C86" s="14" t="s">
        <v>57</v>
      </c>
      <c r="D86" s="14" t="s">
        <v>49</v>
      </c>
    </row>
    <row r="87" customFormat="false" ht="15" hidden="false" customHeight="false" outlineLevel="0" collapsed="false">
      <c r="A87" s="14" t="n">
        <v>83</v>
      </c>
      <c r="B87" s="14" t="s">
        <v>79</v>
      </c>
      <c r="C87" s="14" t="s">
        <v>57</v>
      </c>
      <c r="D87" s="14" t="s">
        <v>49</v>
      </c>
    </row>
    <row r="88" customFormat="false" ht="15" hidden="false" customHeight="false" outlineLevel="0" collapsed="false">
      <c r="A88" s="14" t="n">
        <v>84</v>
      </c>
      <c r="B88" s="14" t="s">
        <v>63</v>
      </c>
      <c r="C88" s="14" t="s">
        <v>57</v>
      </c>
      <c r="D88" s="14" t="s">
        <v>49</v>
      </c>
    </row>
    <row r="89" customFormat="false" ht="15" hidden="false" customHeight="false" outlineLevel="0" collapsed="false">
      <c r="A89" s="14" t="n">
        <v>85</v>
      </c>
      <c r="B89" s="14" t="s">
        <v>98</v>
      </c>
      <c r="C89" s="14" t="s">
        <v>57</v>
      </c>
      <c r="D89" s="14" t="s">
        <v>54</v>
      </c>
    </row>
    <row r="90" customFormat="false" ht="15" hidden="false" customHeight="false" outlineLevel="0" collapsed="false">
      <c r="A90" s="14" t="n">
        <v>86</v>
      </c>
      <c r="B90" s="14" t="s">
        <v>90</v>
      </c>
      <c r="C90" s="14" t="s">
        <v>57</v>
      </c>
      <c r="D90" s="14" t="s">
        <v>67</v>
      </c>
    </row>
    <row r="91" customFormat="false" ht="15" hidden="false" customHeight="false" outlineLevel="0" collapsed="false">
      <c r="A91" s="14" t="n">
        <v>87</v>
      </c>
      <c r="B91" s="14" t="s">
        <v>55</v>
      </c>
      <c r="C91" s="14" t="s">
        <v>57</v>
      </c>
      <c r="D91" s="14" t="s">
        <v>51</v>
      </c>
    </row>
    <row r="92" customFormat="false" ht="15" hidden="false" customHeight="false" outlineLevel="0" collapsed="false">
      <c r="A92" s="14" t="n">
        <v>88</v>
      </c>
      <c r="B92" s="14" t="s">
        <v>89</v>
      </c>
      <c r="C92" s="14" t="s">
        <v>53</v>
      </c>
      <c r="D92" s="14" t="s">
        <v>49</v>
      </c>
    </row>
    <row r="93" customFormat="false" ht="15" hidden="false" customHeight="false" outlineLevel="0" collapsed="false">
      <c r="A93" s="14" t="n">
        <v>89</v>
      </c>
      <c r="B93" s="14" t="s">
        <v>70</v>
      </c>
      <c r="C93" s="14" t="s">
        <v>57</v>
      </c>
      <c r="D93" s="14" t="s">
        <v>51</v>
      </c>
    </row>
    <row r="94" customFormat="false" ht="15" hidden="false" customHeight="false" outlineLevel="0" collapsed="false">
      <c r="A94" s="14" t="n">
        <v>90</v>
      </c>
      <c r="B94" s="14" t="s">
        <v>50</v>
      </c>
      <c r="C94" s="14" t="s">
        <v>53</v>
      </c>
      <c r="D94" s="14" t="s">
        <v>51</v>
      </c>
    </row>
    <row r="95" customFormat="false" ht="15" hidden="false" customHeight="false" outlineLevel="0" collapsed="false">
      <c r="A95" s="14" t="n">
        <v>91</v>
      </c>
      <c r="B95" s="14" t="s">
        <v>98</v>
      </c>
      <c r="C95" s="14" t="s">
        <v>48</v>
      </c>
      <c r="D95" s="14" t="s">
        <v>51</v>
      </c>
    </row>
    <row r="96" customFormat="false" ht="15" hidden="false" customHeight="false" outlineLevel="0" collapsed="false">
      <c r="A96" s="14" t="n">
        <v>92</v>
      </c>
      <c r="B96" s="14" t="s">
        <v>60</v>
      </c>
      <c r="C96" s="14" t="s">
        <v>53</v>
      </c>
      <c r="D96" s="14" t="s">
        <v>49</v>
      </c>
    </row>
    <row r="97" customFormat="false" ht="15" hidden="false" customHeight="false" outlineLevel="0" collapsed="false">
      <c r="A97" s="14" t="n">
        <v>93</v>
      </c>
      <c r="B97" s="14" t="s">
        <v>55</v>
      </c>
      <c r="C97" s="14" t="s">
        <v>48</v>
      </c>
      <c r="D97" s="14" t="s">
        <v>51</v>
      </c>
    </row>
    <row r="98" customFormat="false" ht="15" hidden="false" customHeight="false" outlineLevel="0" collapsed="false">
      <c r="A98" s="14" t="n">
        <v>94</v>
      </c>
      <c r="B98" s="14" t="s">
        <v>91</v>
      </c>
      <c r="C98" s="14" t="s">
        <v>53</v>
      </c>
      <c r="D98" s="14" t="s">
        <v>49</v>
      </c>
    </row>
    <row r="99" customFormat="false" ht="15" hidden="false" customHeight="false" outlineLevel="0" collapsed="false">
      <c r="A99" s="14" t="n">
        <v>95</v>
      </c>
      <c r="B99" s="14" t="s">
        <v>60</v>
      </c>
      <c r="C99" s="14" t="s">
        <v>53</v>
      </c>
      <c r="D99" s="14" t="s">
        <v>49</v>
      </c>
    </row>
    <row r="100" customFormat="false" ht="15" hidden="false" customHeight="false" outlineLevel="0" collapsed="false">
      <c r="A100" s="14" t="n">
        <v>96</v>
      </c>
      <c r="B100" s="14" t="s">
        <v>98</v>
      </c>
      <c r="C100" s="14" t="s">
        <v>48</v>
      </c>
      <c r="D100" s="14" t="s">
        <v>67</v>
      </c>
    </row>
    <row r="101" customFormat="false" ht="15" hidden="false" customHeight="false" outlineLevel="0" collapsed="false">
      <c r="A101" s="14" t="n">
        <v>97</v>
      </c>
      <c r="B101" s="14" t="s">
        <v>47</v>
      </c>
      <c r="C101" s="14" t="s">
        <v>57</v>
      </c>
      <c r="D101" s="14" t="s">
        <v>73</v>
      </c>
    </row>
    <row r="102" customFormat="false" ht="15" hidden="false" customHeight="false" outlineLevel="0" collapsed="false">
      <c r="A102" s="14" t="n">
        <v>98</v>
      </c>
      <c r="B102" s="14" t="s">
        <v>99</v>
      </c>
      <c r="C102" s="14" t="s">
        <v>48</v>
      </c>
      <c r="D102" s="14" t="s">
        <v>51</v>
      </c>
    </row>
    <row r="103" customFormat="false" ht="15" hidden="false" customHeight="false" outlineLevel="0" collapsed="false">
      <c r="A103" s="14" t="n">
        <v>99</v>
      </c>
      <c r="B103" s="14" t="s">
        <v>62</v>
      </c>
      <c r="C103" s="14" t="s">
        <v>57</v>
      </c>
      <c r="D103" s="14" t="s">
        <v>51</v>
      </c>
    </row>
    <row r="104" customFormat="false" ht="15" hidden="false" customHeight="false" outlineLevel="0" collapsed="false">
      <c r="A104" s="14" t="n">
        <v>100</v>
      </c>
      <c r="B104" s="14" t="s">
        <v>100</v>
      </c>
      <c r="C104" s="14" t="s">
        <v>57</v>
      </c>
      <c r="D104" s="14" t="s">
        <v>67</v>
      </c>
    </row>
    <row r="105" customFormat="false" ht="15" hidden="false" customHeight="false" outlineLevel="0" collapsed="false">
      <c r="A105" s="14" t="n">
        <v>101</v>
      </c>
      <c r="B105" s="14" t="s">
        <v>94</v>
      </c>
      <c r="C105" s="14" t="s">
        <v>53</v>
      </c>
      <c r="D105" s="14" t="s">
        <v>51</v>
      </c>
    </row>
    <row r="106" customFormat="false" ht="15" hidden="false" customHeight="false" outlineLevel="0" collapsed="false">
      <c r="A106" s="14" t="n">
        <v>102</v>
      </c>
      <c r="B106" s="14" t="s">
        <v>75</v>
      </c>
      <c r="C106" s="14" t="s">
        <v>57</v>
      </c>
      <c r="D106" s="14" t="s">
        <v>49</v>
      </c>
    </row>
    <row r="107" customFormat="false" ht="15" hidden="false" customHeight="false" outlineLevel="0" collapsed="false">
      <c r="A107" s="14" t="n">
        <v>103</v>
      </c>
      <c r="B107" s="14" t="s">
        <v>101</v>
      </c>
      <c r="C107" s="14" t="s">
        <v>57</v>
      </c>
      <c r="D107" s="14" t="s">
        <v>49</v>
      </c>
    </row>
    <row r="108" customFormat="false" ht="15" hidden="false" customHeight="false" outlineLevel="0" collapsed="false">
      <c r="A108" s="14" t="n">
        <v>104</v>
      </c>
      <c r="B108" s="14" t="s">
        <v>87</v>
      </c>
      <c r="C108" s="14" t="s">
        <v>48</v>
      </c>
      <c r="D108" s="14" t="s">
        <v>54</v>
      </c>
    </row>
    <row r="109" customFormat="false" ht="15" hidden="false" customHeight="false" outlineLevel="0" collapsed="false">
      <c r="A109" s="14" t="n">
        <v>105</v>
      </c>
      <c r="B109" s="14" t="s">
        <v>72</v>
      </c>
      <c r="C109" s="14" t="s">
        <v>48</v>
      </c>
      <c r="D109" s="14" t="s">
        <v>51</v>
      </c>
    </row>
    <row r="110" customFormat="false" ht="15" hidden="false" customHeight="false" outlineLevel="0" collapsed="false">
      <c r="A110" s="14" t="n">
        <v>106</v>
      </c>
      <c r="B110" s="14" t="s">
        <v>90</v>
      </c>
      <c r="C110" s="14" t="s">
        <v>48</v>
      </c>
      <c r="D110" s="14" t="s">
        <v>67</v>
      </c>
    </row>
    <row r="111" customFormat="false" ht="15" hidden="false" customHeight="false" outlineLevel="0" collapsed="false">
      <c r="A111" s="14" t="n">
        <v>107</v>
      </c>
      <c r="B111" s="14" t="s">
        <v>68</v>
      </c>
      <c r="C111" s="14" t="s">
        <v>48</v>
      </c>
      <c r="D111" s="14" t="s">
        <v>73</v>
      </c>
    </row>
    <row r="112" customFormat="false" ht="15" hidden="false" customHeight="false" outlineLevel="0" collapsed="false">
      <c r="A112" s="14" t="n">
        <v>108</v>
      </c>
      <c r="B112" s="14" t="s">
        <v>75</v>
      </c>
      <c r="C112" s="14" t="s">
        <v>57</v>
      </c>
      <c r="D112" s="14" t="s">
        <v>73</v>
      </c>
    </row>
    <row r="113" customFormat="false" ht="15" hidden="false" customHeight="false" outlineLevel="0" collapsed="false">
      <c r="A113" s="14" t="n">
        <v>109</v>
      </c>
      <c r="B113" s="14" t="s">
        <v>60</v>
      </c>
      <c r="C113" s="14" t="s">
        <v>57</v>
      </c>
      <c r="D113" s="14" t="s">
        <v>51</v>
      </c>
    </row>
    <row r="114" customFormat="false" ht="15" hidden="false" customHeight="false" outlineLevel="0" collapsed="false">
      <c r="A114" s="14" t="n">
        <v>110</v>
      </c>
      <c r="B114" s="14" t="s">
        <v>87</v>
      </c>
      <c r="C114" s="14" t="s">
        <v>57</v>
      </c>
      <c r="D114" s="14" t="s">
        <v>67</v>
      </c>
    </row>
    <row r="115" customFormat="false" ht="15" hidden="false" customHeight="false" outlineLevel="0" collapsed="false">
      <c r="A115" s="14" t="n">
        <v>111</v>
      </c>
      <c r="B115" s="14" t="s">
        <v>68</v>
      </c>
      <c r="C115" s="14" t="s">
        <v>53</v>
      </c>
      <c r="D115" s="14" t="s">
        <v>49</v>
      </c>
    </row>
    <row r="116" customFormat="false" ht="15" hidden="false" customHeight="false" outlineLevel="0" collapsed="false">
      <c r="A116" s="14" t="n">
        <v>112</v>
      </c>
      <c r="B116" s="14" t="s">
        <v>92</v>
      </c>
      <c r="C116" s="14" t="s">
        <v>53</v>
      </c>
      <c r="D116" s="14" t="s">
        <v>49</v>
      </c>
    </row>
    <row r="117" customFormat="false" ht="15" hidden="false" customHeight="false" outlineLevel="0" collapsed="false">
      <c r="A117" s="14" t="n">
        <v>113</v>
      </c>
      <c r="B117" s="14" t="s">
        <v>66</v>
      </c>
      <c r="C117" s="14" t="s">
        <v>53</v>
      </c>
      <c r="D117" s="14" t="s">
        <v>49</v>
      </c>
    </row>
    <row r="118" customFormat="false" ht="15" hidden="false" customHeight="false" outlineLevel="0" collapsed="false">
      <c r="A118" s="14" t="n">
        <v>114</v>
      </c>
      <c r="B118" s="14" t="s">
        <v>58</v>
      </c>
      <c r="C118" s="14" t="s">
        <v>53</v>
      </c>
      <c r="D118" s="14" t="s">
        <v>51</v>
      </c>
    </row>
    <row r="119" customFormat="false" ht="15" hidden="false" customHeight="false" outlineLevel="0" collapsed="false">
      <c r="A119" s="14" t="n">
        <v>115</v>
      </c>
      <c r="B119" s="14" t="s">
        <v>68</v>
      </c>
      <c r="C119" s="14" t="s">
        <v>57</v>
      </c>
      <c r="D119" s="14" t="s">
        <v>51</v>
      </c>
    </row>
    <row r="120" customFormat="false" ht="15" hidden="false" customHeight="false" outlineLevel="0" collapsed="false">
      <c r="A120" s="14" t="n">
        <v>116</v>
      </c>
      <c r="B120" s="14" t="s">
        <v>92</v>
      </c>
      <c r="C120" s="14" t="s">
        <v>53</v>
      </c>
      <c r="D120" s="14" t="s">
        <v>67</v>
      </c>
    </row>
    <row r="121" customFormat="false" ht="15" hidden="false" customHeight="false" outlineLevel="0" collapsed="false">
      <c r="A121" s="14" t="n">
        <v>117</v>
      </c>
      <c r="B121" s="14" t="s">
        <v>71</v>
      </c>
      <c r="C121" s="14" t="s">
        <v>57</v>
      </c>
      <c r="D121" s="14" t="s">
        <v>51</v>
      </c>
    </row>
    <row r="122" customFormat="false" ht="15" hidden="false" customHeight="false" outlineLevel="0" collapsed="false">
      <c r="A122" s="14" t="n">
        <v>118</v>
      </c>
      <c r="B122" s="14" t="s">
        <v>50</v>
      </c>
      <c r="C122" s="14" t="s">
        <v>48</v>
      </c>
      <c r="D122" s="14" t="s">
        <v>49</v>
      </c>
    </row>
    <row r="123" customFormat="false" ht="15" hidden="false" customHeight="false" outlineLevel="0" collapsed="false">
      <c r="A123" s="14" t="n">
        <v>119</v>
      </c>
      <c r="B123" s="14" t="s">
        <v>85</v>
      </c>
      <c r="C123" s="14" t="s">
        <v>53</v>
      </c>
      <c r="D123" s="14" t="s">
        <v>49</v>
      </c>
    </row>
    <row r="124" customFormat="false" ht="15" hidden="false" customHeight="false" outlineLevel="0" collapsed="false">
      <c r="A124" s="14" t="n">
        <v>120</v>
      </c>
      <c r="B124" s="14" t="s">
        <v>87</v>
      </c>
      <c r="C124" s="14" t="s">
        <v>57</v>
      </c>
      <c r="D124" s="14" t="s">
        <v>51</v>
      </c>
    </row>
    <row r="125" customFormat="false" ht="15" hidden="false" customHeight="false" outlineLevel="0" collapsed="false">
      <c r="A125" s="14" t="n">
        <v>121</v>
      </c>
      <c r="B125" s="14" t="s">
        <v>68</v>
      </c>
      <c r="C125" s="14" t="s">
        <v>53</v>
      </c>
      <c r="D125" s="14" t="s">
        <v>67</v>
      </c>
    </row>
    <row r="126" customFormat="false" ht="15" hidden="false" customHeight="false" outlineLevel="0" collapsed="false">
      <c r="A126" s="14" t="n">
        <v>122</v>
      </c>
      <c r="B126" s="14" t="s">
        <v>89</v>
      </c>
      <c r="C126" s="14" t="s">
        <v>57</v>
      </c>
      <c r="D126" s="14" t="s">
        <v>54</v>
      </c>
    </row>
    <row r="127" customFormat="false" ht="15" hidden="false" customHeight="false" outlineLevel="0" collapsed="false">
      <c r="A127" s="14" t="n">
        <v>123</v>
      </c>
      <c r="B127" s="14" t="s">
        <v>50</v>
      </c>
      <c r="C127" s="14" t="s">
        <v>53</v>
      </c>
      <c r="D127" s="14" t="s">
        <v>49</v>
      </c>
    </row>
    <row r="128" customFormat="false" ht="15" hidden="false" customHeight="false" outlineLevel="0" collapsed="false">
      <c r="A128" s="14" t="n">
        <v>124</v>
      </c>
      <c r="B128" s="14" t="s">
        <v>65</v>
      </c>
      <c r="C128" s="14" t="s">
        <v>48</v>
      </c>
      <c r="D128" s="14" t="s">
        <v>49</v>
      </c>
    </row>
    <row r="129" customFormat="false" ht="15" hidden="false" customHeight="false" outlineLevel="0" collapsed="false">
      <c r="A129" s="14" t="n">
        <v>125</v>
      </c>
      <c r="B129" s="14" t="s">
        <v>97</v>
      </c>
      <c r="C129" s="14" t="s">
        <v>57</v>
      </c>
      <c r="D129" s="14" t="s">
        <v>49</v>
      </c>
    </row>
    <row r="130" customFormat="false" ht="15" hidden="false" customHeight="false" outlineLevel="0" collapsed="false">
      <c r="A130" s="14" t="n">
        <v>126</v>
      </c>
      <c r="B130" s="14" t="s">
        <v>80</v>
      </c>
      <c r="C130" s="14" t="s">
        <v>53</v>
      </c>
      <c r="D130" s="14" t="s">
        <v>51</v>
      </c>
    </row>
    <row r="131" customFormat="false" ht="15" hidden="false" customHeight="false" outlineLevel="0" collapsed="false">
      <c r="A131" s="14" t="n">
        <v>127</v>
      </c>
      <c r="B131" s="14" t="s">
        <v>75</v>
      </c>
      <c r="C131" s="14" t="s">
        <v>53</v>
      </c>
      <c r="D131" s="14" t="s">
        <v>67</v>
      </c>
    </row>
    <row r="132" customFormat="false" ht="15" hidden="false" customHeight="false" outlineLevel="0" collapsed="false">
      <c r="A132" s="14" t="n">
        <v>128</v>
      </c>
      <c r="B132" s="14" t="s">
        <v>64</v>
      </c>
      <c r="C132" s="14" t="s">
        <v>57</v>
      </c>
      <c r="D132" s="14" t="s">
        <v>73</v>
      </c>
    </row>
    <row r="133" customFormat="false" ht="15" hidden="false" customHeight="false" outlineLevel="0" collapsed="false">
      <c r="A133" s="14" t="n">
        <v>129</v>
      </c>
      <c r="B133" s="14" t="s">
        <v>71</v>
      </c>
      <c r="C133" s="14" t="s">
        <v>53</v>
      </c>
      <c r="D133" s="14" t="s">
        <v>51</v>
      </c>
    </row>
    <row r="134" customFormat="false" ht="15" hidden="false" customHeight="false" outlineLevel="0" collapsed="false">
      <c r="A134" s="14" t="n">
        <v>130</v>
      </c>
      <c r="B134" s="14" t="s">
        <v>81</v>
      </c>
      <c r="C134" s="14" t="s">
        <v>57</v>
      </c>
      <c r="D134" s="14" t="s">
        <v>73</v>
      </c>
    </row>
    <row r="135" customFormat="false" ht="15" hidden="false" customHeight="false" outlineLevel="0" collapsed="false">
      <c r="A135" s="14" t="n">
        <v>131</v>
      </c>
      <c r="B135" s="14" t="s">
        <v>88</v>
      </c>
      <c r="C135" s="14" t="s">
        <v>48</v>
      </c>
      <c r="D135" s="14" t="s">
        <v>73</v>
      </c>
    </row>
    <row r="136" customFormat="false" ht="15" hidden="false" customHeight="false" outlineLevel="0" collapsed="false">
      <c r="A136" s="14" t="n">
        <v>132</v>
      </c>
      <c r="B136" s="14" t="s">
        <v>95</v>
      </c>
      <c r="C136" s="14" t="s">
        <v>53</v>
      </c>
      <c r="D136" s="14" t="s">
        <v>54</v>
      </c>
    </row>
    <row r="137" customFormat="false" ht="15" hidden="false" customHeight="false" outlineLevel="0" collapsed="false">
      <c r="A137" s="14" t="n">
        <v>133</v>
      </c>
      <c r="B137" s="14" t="s">
        <v>58</v>
      </c>
      <c r="C137" s="14" t="s">
        <v>53</v>
      </c>
      <c r="D137" s="14" t="s">
        <v>49</v>
      </c>
    </row>
    <row r="138" customFormat="false" ht="15" hidden="false" customHeight="false" outlineLevel="0" collapsed="false">
      <c r="A138" s="14" t="n">
        <v>134</v>
      </c>
      <c r="B138" s="14" t="s">
        <v>61</v>
      </c>
      <c r="C138" s="14" t="s">
        <v>48</v>
      </c>
      <c r="D138" s="14" t="s">
        <v>67</v>
      </c>
    </row>
    <row r="139" customFormat="false" ht="15" hidden="false" customHeight="false" outlineLevel="0" collapsed="false">
      <c r="A139" s="14" t="n">
        <v>135</v>
      </c>
      <c r="B139" s="14" t="s">
        <v>68</v>
      </c>
      <c r="C139" s="14" t="s">
        <v>57</v>
      </c>
      <c r="D139" s="14" t="s">
        <v>51</v>
      </c>
    </row>
    <row r="140" customFormat="false" ht="15" hidden="false" customHeight="false" outlineLevel="0" collapsed="false">
      <c r="A140" s="14" t="n">
        <v>136</v>
      </c>
      <c r="B140" s="14" t="s">
        <v>70</v>
      </c>
      <c r="C140" s="14" t="s">
        <v>53</v>
      </c>
      <c r="D140" s="14" t="s">
        <v>49</v>
      </c>
    </row>
    <row r="141" customFormat="false" ht="15" hidden="false" customHeight="false" outlineLevel="0" collapsed="false">
      <c r="A141" s="14" t="n">
        <v>137</v>
      </c>
      <c r="B141" s="14" t="s">
        <v>81</v>
      </c>
      <c r="C141" s="14" t="s">
        <v>48</v>
      </c>
      <c r="D141" s="14" t="s">
        <v>51</v>
      </c>
    </row>
    <row r="142" customFormat="false" ht="15" hidden="false" customHeight="false" outlineLevel="0" collapsed="false">
      <c r="A142" s="14" t="n">
        <v>138</v>
      </c>
      <c r="B142" s="14" t="s">
        <v>80</v>
      </c>
      <c r="C142" s="14" t="s">
        <v>57</v>
      </c>
      <c r="D142" s="14" t="s">
        <v>54</v>
      </c>
    </row>
    <row r="143" customFormat="false" ht="15" hidden="false" customHeight="false" outlineLevel="0" collapsed="false">
      <c r="A143" s="14" t="n">
        <v>139</v>
      </c>
      <c r="B143" s="14" t="s">
        <v>102</v>
      </c>
      <c r="C143" s="14" t="s">
        <v>57</v>
      </c>
      <c r="D143" s="14" t="s">
        <v>49</v>
      </c>
    </row>
    <row r="144" customFormat="false" ht="15" hidden="false" customHeight="false" outlineLevel="0" collapsed="false">
      <c r="A144" s="14" t="n">
        <v>140</v>
      </c>
      <c r="B144" s="14" t="s">
        <v>103</v>
      </c>
      <c r="C144" s="14" t="s">
        <v>48</v>
      </c>
      <c r="D144" s="14" t="s">
        <v>54</v>
      </c>
    </row>
    <row r="145" customFormat="false" ht="15" hidden="false" customHeight="false" outlineLevel="0" collapsed="false">
      <c r="A145" s="14" t="n">
        <v>141</v>
      </c>
      <c r="B145" s="14" t="s">
        <v>84</v>
      </c>
      <c r="C145" s="14" t="s">
        <v>48</v>
      </c>
      <c r="D145" s="14" t="s">
        <v>54</v>
      </c>
    </row>
    <row r="146" customFormat="false" ht="15" hidden="false" customHeight="false" outlineLevel="0" collapsed="false">
      <c r="A146" s="14" t="n">
        <v>142</v>
      </c>
      <c r="B146" s="14" t="s">
        <v>78</v>
      </c>
      <c r="C146" s="14" t="s">
        <v>53</v>
      </c>
      <c r="D146" s="14" t="s">
        <v>73</v>
      </c>
    </row>
    <row r="147" customFormat="false" ht="15" hidden="false" customHeight="false" outlineLevel="0" collapsed="false">
      <c r="A147" s="14" t="n">
        <v>143</v>
      </c>
      <c r="B147" s="14" t="s">
        <v>104</v>
      </c>
      <c r="C147" s="14" t="s">
        <v>48</v>
      </c>
      <c r="D147" s="14" t="s">
        <v>67</v>
      </c>
    </row>
    <row r="148" customFormat="false" ht="15" hidden="false" customHeight="false" outlineLevel="0" collapsed="false">
      <c r="A148" s="14" t="n">
        <v>144</v>
      </c>
      <c r="B148" s="14" t="s">
        <v>105</v>
      </c>
      <c r="C148" s="14" t="s">
        <v>48</v>
      </c>
      <c r="D148" s="14" t="s">
        <v>54</v>
      </c>
    </row>
    <row r="149" customFormat="false" ht="15" hidden="false" customHeight="false" outlineLevel="0" collapsed="false">
      <c r="A149" s="14" t="n">
        <v>145</v>
      </c>
      <c r="B149" s="14" t="s">
        <v>93</v>
      </c>
      <c r="C149" s="14" t="s">
        <v>48</v>
      </c>
      <c r="D149" s="14" t="s">
        <v>49</v>
      </c>
    </row>
    <row r="150" customFormat="false" ht="15" hidden="false" customHeight="false" outlineLevel="0" collapsed="false">
      <c r="A150" s="14" t="n">
        <v>146</v>
      </c>
      <c r="B150" s="14" t="s">
        <v>106</v>
      </c>
      <c r="C150" s="14" t="s">
        <v>48</v>
      </c>
      <c r="D150" s="14" t="s">
        <v>67</v>
      </c>
    </row>
    <row r="151" customFormat="false" ht="15" hidden="false" customHeight="false" outlineLevel="0" collapsed="false">
      <c r="A151" s="14" t="n">
        <v>147</v>
      </c>
      <c r="B151" s="14" t="s">
        <v>76</v>
      </c>
      <c r="C151" s="14" t="s">
        <v>53</v>
      </c>
      <c r="D151" s="14" t="s">
        <v>54</v>
      </c>
    </row>
    <row r="152" customFormat="false" ht="15" hidden="false" customHeight="false" outlineLevel="0" collapsed="false">
      <c r="A152" s="14" t="n">
        <v>148</v>
      </c>
      <c r="B152" s="14" t="s">
        <v>81</v>
      </c>
      <c r="C152" s="14" t="s">
        <v>48</v>
      </c>
      <c r="D152" s="14" t="s">
        <v>49</v>
      </c>
    </row>
    <row r="153" customFormat="false" ht="15" hidden="false" customHeight="false" outlineLevel="0" collapsed="false">
      <c r="A153" s="14" t="n">
        <v>149</v>
      </c>
      <c r="B153" s="14" t="s">
        <v>89</v>
      </c>
      <c r="C153" s="14" t="s">
        <v>53</v>
      </c>
      <c r="D153" s="14" t="s">
        <v>49</v>
      </c>
    </row>
    <row r="154" customFormat="false" ht="15" hidden="false" customHeight="false" outlineLevel="0" collapsed="false">
      <c r="A154" s="14" t="n">
        <v>150</v>
      </c>
      <c r="B154" s="14" t="s">
        <v>62</v>
      </c>
      <c r="C154" s="14" t="s">
        <v>48</v>
      </c>
      <c r="D154" s="14" t="s">
        <v>67</v>
      </c>
    </row>
    <row r="155" customFormat="false" ht="15" hidden="false" customHeight="false" outlineLevel="0" collapsed="false">
      <c r="A155" s="14" t="n">
        <v>151</v>
      </c>
      <c r="B155" s="14" t="s">
        <v>98</v>
      </c>
      <c r="C155" s="14" t="s">
        <v>48</v>
      </c>
      <c r="D155" s="14" t="s">
        <v>54</v>
      </c>
    </row>
    <row r="156" customFormat="false" ht="15" hidden="false" customHeight="false" outlineLevel="0" collapsed="false">
      <c r="A156" s="14" t="n">
        <v>152</v>
      </c>
      <c r="B156" s="14" t="s">
        <v>70</v>
      </c>
      <c r="C156" s="14" t="s">
        <v>57</v>
      </c>
      <c r="D156" s="14" t="s">
        <v>67</v>
      </c>
    </row>
    <row r="157" customFormat="false" ht="15" hidden="false" customHeight="false" outlineLevel="0" collapsed="false">
      <c r="A157" s="14" t="n">
        <v>153</v>
      </c>
      <c r="B157" s="14" t="s">
        <v>63</v>
      </c>
      <c r="C157" s="14" t="s">
        <v>57</v>
      </c>
      <c r="D157" s="14" t="s">
        <v>67</v>
      </c>
    </row>
    <row r="158" customFormat="false" ht="15" hidden="false" customHeight="false" outlineLevel="0" collapsed="false">
      <c r="A158" s="14" t="n">
        <v>154</v>
      </c>
      <c r="B158" s="14" t="s">
        <v>60</v>
      </c>
      <c r="C158" s="14" t="s">
        <v>48</v>
      </c>
      <c r="D158" s="14" t="s">
        <v>54</v>
      </c>
    </row>
    <row r="159" customFormat="false" ht="15" hidden="false" customHeight="false" outlineLevel="0" collapsed="false">
      <c r="A159" s="14" t="n">
        <v>155</v>
      </c>
      <c r="B159" s="14" t="s">
        <v>77</v>
      </c>
      <c r="C159" s="14" t="s">
        <v>48</v>
      </c>
      <c r="D159" s="14" t="s">
        <v>49</v>
      </c>
    </row>
    <row r="160" customFormat="false" ht="15" hidden="false" customHeight="false" outlineLevel="0" collapsed="false">
      <c r="A160" s="14" t="n">
        <v>156</v>
      </c>
      <c r="B160" s="14" t="s">
        <v>61</v>
      </c>
      <c r="C160" s="14" t="s">
        <v>57</v>
      </c>
      <c r="D160" s="14" t="s">
        <v>51</v>
      </c>
    </row>
    <row r="161" customFormat="false" ht="15" hidden="false" customHeight="false" outlineLevel="0" collapsed="false">
      <c r="A161" s="14" t="n">
        <v>157</v>
      </c>
      <c r="B161" s="14" t="s">
        <v>97</v>
      </c>
      <c r="C161" s="14" t="s">
        <v>57</v>
      </c>
      <c r="D161" s="14" t="s">
        <v>51</v>
      </c>
    </row>
    <row r="162" customFormat="false" ht="15" hidden="false" customHeight="false" outlineLevel="0" collapsed="false">
      <c r="A162" s="14" t="n">
        <v>158</v>
      </c>
      <c r="B162" s="14" t="s">
        <v>106</v>
      </c>
      <c r="C162" s="14" t="s">
        <v>57</v>
      </c>
      <c r="D162" s="14" t="s">
        <v>49</v>
      </c>
    </row>
    <row r="163" customFormat="false" ht="15" hidden="false" customHeight="false" outlineLevel="0" collapsed="false">
      <c r="A163" s="14" t="n">
        <v>159</v>
      </c>
      <c r="B163" s="14" t="s">
        <v>81</v>
      </c>
      <c r="C163" s="14" t="s">
        <v>48</v>
      </c>
      <c r="D163" s="14" t="s">
        <v>49</v>
      </c>
    </row>
    <row r="164" customFormat="false" ht="15" hidden="false" customHeight="false" outlineLevel="0" collapsed="false">
      <c r="A164" s="14" t="n">
        <v>160</v>
      </c>
      <c r="B164" s="14" t="s">
        <v>92</v>
      </c>
      <c r="C164" s="14" t="s">
        <v>57</v>
      </c>
      <c r="D164" s="14" t="s">
        <v>67</v>
      </c>
    </row>
    <row r="165" customFormat="false" ht="15" hidden="false" customHeight="false" outlineLevel="0" collapsed="false">
      <c r="A165" s="14" t="n">
        <v>161</v>
      </c>
      <c r="B165" s="14" t="s">
        <v>91</v>
      </c>
      <c r="C165" s="14" t="s">
        <v>48</v>
      </c>
      <c r="D165" s="14" t="s">
        <v>51</v>
      </c>
    </row>
    <row r="166" customFormat="false" ht="15" hidden="false" customHeight="false" outlineLevel="0" collapsed="false">
      <c r="A166" s="14" t="n">
        <v>162</v>
      </c>
      <c r="B166" s="14" t="s">
        <v>81</v>
      </c>
      <c r="C166" s="14" t="s">
        <v>48</v>
      </c>
      <c r="D166" s="14" t="s">
        <v>51</v>
      </c>
    </row>
    <row r="167" customFormat="false" ht="15" hidden="false" customHeight="false" outlineLevel="0" collapsed="false">
      <c r="A167" s="14" t="n">
        <v>163</v>
      </c>
      <c r="B167" s="14" t="s">
        <v>93</v>
      </c>
      <c r="C167" s="14" t="s">
        <v>57</v>
      </c>
      <c r="D167" s="14" t="s">
        <v>54</v>
      </c>
    </row>
    <row r="168" customFormat="false" ht="15" hidden="false" customHeight="false" outlineLevel="0" collapsed="false">
      <c r="A168" s="14" t="n">
        <v>164</v>
      </c>
      <c r="B168" s="14" t="s">
        <v>83</v>
      </c>
      <c r="C168" s="14" t="s">
        <v>48</v>
      </c>
      <c r="D168" s="14" t="s">
        <v>49</v>
      </c>
    </row>
    <row r="169" customFormat="false" ht="15" hidden="false" customHeight="false" outlineLevel="0" collapsed="false">
      <c r="A169" s="14" t="n">
        <v>165</v>
      </c>
      <c r="B169" s="14" t="s">
        <v>83</v>
      </c>
      <c r="C169" s="14" t="s">
        <v>57</v>
      </c>
      <c r="D169" s="14" t="s">
        <v>49</v>
      </c>
    </row>
    <row r="170" customFormat="false" ht="15" hidden="false" customHeight="false" outlineLevel="0" collapsed="false">
      <c r="A170" s="14" t="n">
        <v>166</v>
      </c>
      <c r="B170" s="14" t="s">
        <v>61</v>
      </c>
      <c r="C170" s="14" t="s">
        <v>57</v>
      </c>
      <c r="D170" s="14" t="s">
        <v>51</v>
      </c>
    </row>
    <row r="171" customFormat="false" ht="15" hidden="false" customHeight="false" outlineLevel="0" collapsed="false">
      <c r="A171" s="14" t="n">
        <v>167</v>
      </c>
      <c r="B171" s="14" t="s">
        <v>95</v>
      </c>
      <c r="C171" s="14" t="s">
        <v>53</v>
      </c>
      <c r="D171" s="14" t="s">
        <v>51</v>
      </c>
    </row>
    <row r="172" customFormat="false" ht="15" hidden="false" customHeight="false" outlineLevel="0" collapsed="false">
      <c r="A172" s="14" t="n">
        <v>168</v>
      </c>
      <c r="B172" s="14" t="s">
        <v>98</v>
      </c>
      <c r="C172" s="14" t="s">
        <v>57</v>
      </c>
      <c r="D172" s="14" t="s">
        <v>49</v>
      </c>
    </row>
    <row r="173" customFormat="false" ht="15" hidden="false" customHeight="false" outlineLevel="0" collapsed="false">
      <c r="A173" s="14" t="n">
        <v>169</v>
      </c>
      <c r="B173" s="14" t="s">
        <v>88</v>
      </c>
      <c r="C173" s="14" t="s">
        <v>53</v>
      </c>
      <c r="D173" s="14" t="s">
        <v>49</v>
      </c>
    </row>
    <row r="174" customFormat="false" ht="15" hidden="false" customHeight="false" outlineLevel="0" collapsed="false">
      <c r="A174" s="14" t="n">
        <v>170</v>
      </c>
      <c r="B174" s="14" t="s">
        <v>107</v>
      </c>
      <c r="C174" s="14" t="s">
        <v>53</v>
      </c>
      <c r="D174" s="14" t="s">
        <v>67</v>
      </c>
    </row>
    <row r="175" customFormat="false" ht="15" hidden="false" customHeight="false" outlineLevel="0" collapsed="false">
      <c r="A175" s="14" t="n">
        <v>171</v>
      </c>
      <c r="B175" s="14" t="s">
        <v>56</v>
      </c>
      <c r="C175" s="14" t="s">
        <v>48</v>
      </c>
      <c r="D175" s="14" t="s">
        <v>73</v>
      </c>
    </row>
    <row r="176" customFormat="false" ht="15" hidden="false" customHeight="false" outlineLevel="0" collapsed="false">
      <c r="A176" s="14" t="n">
        <v>172</v>
      </c>
      <c r="B176" s="14" t="s">
        <v>103</v>
      </c>
      <c r="C176" s="14" t="s">
        <v>53</v>
      </c>
      <c r="D176" s="14" t="s">
        <v>51</v>
      </c>
    </row>
    <row r="177" customFormat="false" ht="15" hidden="false" customHeight="false" outlineLevel="0" collapsed="false">
      <c r="A177" s="14" t="n">
        <v>173</v>
      </c>
      <c r="B177" s="14" t="s">
        <v>66</v>
      </c>
      <c r="C177" s="14" t="s">
        <v>48</v>
      </c>
      <c r="D177" s="14" t="s">
        <v>51</v>
      </c>
    </row>
    <row r="178" customFormat="false" ht="15" hidden="false" customHeight="false" outlineLevel="0" collapsed="false">
      <c r="A178" s="14" t="n">
        <v>174</v>
      </c>
      <c r="B178" s="14" t="s">
        <v>86</v>
      </c>
      <c r="C178" s="14" t="s">
        <v>48</v>
      </c>
      <c r="D178" s="14" t="s">
        <v>49</v>
      </c>
    </row>
    <row r="179" customFormat="false" ht="15" hidden="false" customHeight="false" outlineLevel="0" collapsed="false">
      <c r="A179" s="14" t="n">
        <v>175</v>
      </c>
      <c r="B179" s="14" t="s">
        <v>55</v>
      </c>
      <c r="C179" s="14" t="s">
        <v>53</v>
      </c>
      <c r="D179" s="14" t="s">
        <v>49</v>
      </c>
    </row>
    <row r="180" customFormat="false" ht="15" hidden="false" customHeight="false" outlineLevel="0" collapsed="false">
      <c r="A180" s="14" t="n">
        <v>176</v>
      </c>
      <c r="B180" s="14" t="s">
        <v>79</v>
      </c>
      <c r="C180" s="14" t="s">
        <v>53</v>
      </c>
      <c r="D180" s="14" t="s">
        <v>51</v>
      </c>
    </row>
    <row r="181" customFormat="false" ht="15" hidden="false" customHeight="false" outlineLevel="0" collapsed="false">
      <c r="A181" s="14" t="n">
        <v>177</v>
      </c>
      <c r="B181" s="14" t="s">
        <v>56</v>
      </c>
      <c r="C181" s="14" t="s">
        <v>53</v>
      </c>
      <c r="D181" s="14" t="s">
        <v>51</v>
      </c>
    </row>
    <row r="182" customFormat="false" ht="15" hidden="false" customHeight="false" outlineLevel="0" collapsed="false">
      <c r="A182" s="14" t="n">
        <v>178</v>
      </c>
      <c r="B182" s="14" t="s">
        <v>86</v>
      </c>
      <c r="C182" s="14" t="s">
        <v>53</v>
      </c>
      <c r="D182" s="14" t="s">
        <v>49</v>
      </c>
    </row>
    <row r="183" customFormat="false" ht="15" hidden="false" customHeight="false" outlineLevel="0" collapsed="false">
      <c r="A183" s="14" t="n">
        <v>179</v>
      </c>
      <c r="B183" s="14" t="s">
        <v>87</v>
      </c>
      <c r="C183" s="14" t="s">
        <v>48</v>
      </c>
      <c r="D183" s="14" t="s">
        <v>49</v>
      </c>
    </row>
    <row r="184" customFormat="false" ht="15" hidden="false" customHeight="false" outlineLevel="0" collapsed="false">
      <c r="A184" s="14" t="n">
        <v>180</v>
      </c>
      <c r="B184" s="14" t="s">
        <v>58</v>
      </c>
      <c r="C184" s="14" t="s">
        <v>53</v>
      </c>
      <c r="D184" s="14" t="s">
        <v>51</v>
      </c>
    </row>
    <row r="185" customFormat="false" ht="15" hidden="false" customHeight="false" outlineLevel="0" collapsed="false">
      <c r="A185" s="14" t="n">
        <v>181</v>
      </c>
      <c r="B185" s="14" t="s">
        <v>97</v>
      </c>
      <c r="C185" s="14" t="s">
        <v>53</v>
      </c>
      <c r="D185" s="14" t="s">
        <v>49</v>
      </c>
    </row>
    <row r="186" customFormat="false" ht="15" hidden="false" customHeight="false" outlineLevel="0" collapsed="false">
      <c r="A186" s="14" t="n">
        <v>182</v>
      </c>
      <c r="B186" s="14" t="s">
        <v>101</v>
      </c>
      <c r="C186" s="14" t="s">
        <v>57</v>
      </c>
      <c r="D186" s="14" t="s">
        <v>51</v>
      </c>
    </row>
    <row r="187" customFormat="false" ht="15" hidden="false" customHeight="false" outlineLevel="0" collapsed="false">
      <c r="A187" s="14" t="n">
        <v>183</v>
      </c>
      <c r="B187" s="14" t="s">
        <v>101</v>
      </c>
      <c r="C187" s="14" t="s">
        <v>53</v>
      </c>
      <c r="D187" s="14" t="s">
        <v>51</v>
      </c>
    </row>
    <row r="188" customFormat="false" ht="15" hidden="false" customHeight="false" outlineLevel="0" collapsed="false">
      <c r="A188" s="14" t="n">
        <v>184</v>
      </c>
      <c r="B188" s="14" t="s">
        <v>98</v>
      </c>
      <c r="C188" s="14" t="s">
        <v>57</v>
      </c>
      <c r="D188" s="14" t="s">
        <v>49</v>
      </c>
    </row>
    <row r="189" customFormat="false" ht="15" hidden="false" customHeight="false" outlineLevel="0" collapsed="false">
      <c r="A189" s="14" t="n">
        <v>185</v>
      </c>
      <c r="B189" s="14" t="s">
        <v>108</v>
      </c>
      <c r="C189" s="14" t="s">
        <v>53</v>
      </c>
      <c r="D189" s="14" t="s">
        <v>51</v>
      </c>
    </row>
    <row r="190" customFormat="false" ht="15" hidden="false" customHeight="false" outlineLevel="0" collapsed="false">
      <c r="A190" s="14" t="n">
        <v>186</v>
      </c>
      <c r="B190" s="14" t="s">
        <v>92</v>
      </c>
      <c r="C190" s="14" t="s">
        <v>53</v>
      </c>
      <c r="D190" s="14" t="s">
        <v>51</v>
      </c>
    </row>
    <row r="191" customFormat="false" ht="15" hidden="false" customHeight="false" outlineLevel="0" collapsed="false">
      <c r="A191" s="14" t="n">
        <v>187</v>
      </c>
      <c r="B191" s="14" t="s">
        <v>106</v>
      </c>
      <c r="C191" s="14" t="s">
        <v>57</v>
      </c>
      <c r="D191" s="14" t="s">
        <v>51</v>
      </c>
    </row>
    <row r="192" customFormat="false" ht="15" hidden="false" customHeight="false" outlineLevel="0" collapsed="false">
      <c r="A192" s="14" t="n">
        <v>188</v>
      </c>
      <c r="B192" s="14" t="s">
        <v>66</v>
      </c>
      <c r="C192" s="14" t="s">
        <v>57</v>
      </c>
      <c r="D192" s="14" t="s">
        <v>54</v>
      </c>
    </row>
    <row r="193" customFormat="false" ht="15" hidden="false" customHeight="false" outlineLevel="0" collapsed="false">
      <c r="A193" s="14" t="n">
        <v>189</v>
      </c>
      <c r="B193" s="14" t="s">
        <v>80</v>
      </c>
      <c r="C193" s="14" t="s">
        <v>53</v>
      </c>
      <c r="D193" s="14" t="s">
        <v>51</v>
      </c>
    </row>
    <row r="194" customFormat="false" ht="15" hidden="false" customHeight="false" outlineLevel="0" collapsed="false">
      <c r="A194" s="14" t="n">
        <v>190</v>
      </c>
      <c r="B194" s="14" t="s">
        <v>98</v>
      </c>
      <c r="C194" s="14" t="s">
        <v>48</v>
      </c>
      <c r="D194" s="14" t="s">
        <v>67</v>
      </c>
    </row>
    <row r="195" customFormat="false" ht="15" hidden="false" customHeight="false" outlineLevel="0" collapsed="false">
      <c r="A195" s="14" t="n">
        <v>191</v>
      </c>
      <c r="B195" s="14" t="s">
        <v>102</v>
      </c>
      <c r="C195" s="14" t="s">
        <v>53</v>
      </c>
      <c r="D195" s="14" t="s">
        <v>54</v>
      </c>
    </row>
    <row r="196" customFormat="false" ht="15" hidden="false" customHeight="false" outlineLevel="0" collapsed="false">
      <c r="A196" s="14" t="n">
        <v>192</v>
      </c>
      <c r="B196" s="14" t="s">
        <v>109</v>
      </c>
      <c r="C196" s="14" t="s">
        <v>48</v>
      </c>
      <c r="D196" s="14" t="s">
        <v>49</v>
      </c>
    </row>
    <row r="197" customFormat="false" ht="15" hidden="false" customHeight="false" outlineLevel="0" collapsed="false">
      <c r="A197" s="14" t="n">
        <v>193</v>
      </c>
      <c r="B197" s="14" t="s">
        <v>89</v>
      </c>
      <c r="C197" s="14" t="s">
        <v>48</v>
      </c>
      <c r="D197" s="14" t="s">
        <v>54</v>
      </c>
    </row>
    <row r="198" customFormat="false" ht="15" hidden="false" customHeight="false" outlineLevel="0" collapsed="false">
      <c r="A198" s="14" t="n">
        <v>194</v>
      </c>
      <c r="B198" s="14" t="s">
        <v>110</v>
      </c>
      <c r="C198" s="14" t="s">
        <v>53</v>
      </c>
      <c r="D198" s="14" t="s">
        <v>49</v>
      </c>
    </row>
    <row r="199" customFormat="false" ht="15" hidden="false" customHeight="false" outlineLevel="0" collapsed="false">
      <c r="A199" s="14" t="n">
        <v>195</v>
      </c>
      <c r="B199" s="14" t="s">
        <v>68</v>
      </c>
      <c r="C199" s="14" t="s">
        <v>48</v>
      </c>
      <c r="D199" s="14" t="s">
        <v>49</v>
      </c>
    </row>
    <row r="200" customFormat="false" ht="15" hidden="false" customHeight="false" outlineLevel="0" collapsed="false">
      <c r="A200" s="14" t="n">
        <v>196</v>
      </c>
      <c r="B200" s="14" t="s">
        <v>74</v>
      </c>
      <c r="C200" s="14" t="s">
        <v>48</v>
      </c>
      <c r="D200" s="14" t="s">
        <v>67</v>
      </c>
    </row>
    <row r="201" customFormat="false" ht="15" hidden="false" customHeight="false" outlineLevel="0" collapsed="false">
      <c r="A201" s="14" t="n">
        <v>197</v>
      </c>
      <c r="B201" s="14" t="s">
        <v>96</v>
      </c>
      <c r="C201" s="14" t="s">
        <v>57</v>
      </c>
      <c r="D201" s="14" t="s">
        <v>54</v>
      </c>
    </row>
    <row r="202" customFormat="false" ht="15" hidden="false" customHeight="false" outlineLevel="0" collapsed="false">
      <c r="A202" s="14" t="n">
        <v>198</v>
      </c>
      <c r="B202" s="14" t="s">
        <v>96</v>
      </c>
      <c r="C202" s="14" t="s">
        <v>48</v>
      </c>
      <c r="D202" s="14" t="s">
        <v>49</v>
      </c>
    </row>
    <row r="203" customFormat="false" ht="15" hidden="false" customHeight="false" outlineLevel="0" collapsed="false">
      <c r="A203" s="14" t="n">
        <v>199</v>
      </c>
      <c r="B203" s="14" t="s">
        <v>47</v>
      </c>
      <c r="C203" s="14" t="s">
        <v>48</v>
      </c>
      <c r="D203" s="14" t="s">
        <v>51</v>
      </c>
    </row>
    <row r="204" customFormat="false" ht="15" hidden="false" customHeight="false" outlineLevel="0" collapsed="false">
      <c r="A204" s="14" t="n">
        <v>200</v>
      </c>
      <c r="B204" s="14" t="s">
        <v>91</v>
      </c>
      <c r="C204" s="14" t="s">
        <v>57</v>
      </c>
      <c r="D204" s="14" t="s">
        <v>49</v>
      </c>
    </row>
    <row r="205" customFormat="false" ht="15" hidden="false" customHeight="false" outlineLevel="0" collapsed="false">
      <c r="A205" s="14" t="n">
        <v>201</v>
      </c>
      <c r="B205" s="14" t="s">
        <v>60</v>
      </c>
      <c r="C205" s="14" t="s">
        <v>57</v>
      </c>
      <c r="D205" s="14" t="s">
        <v>73</v>
      </c>
    </row>
    <row r="206" customFormat="false" ht="15" hidden="false" customHeight="false" outlineLevel="0" collapsed="false">
      <c r="A206" s="14" t="n">
        <v>202</v>
      </c>
      <c r="B206" s="14" t="s">
        <v>99</v>
      </c>
      <c r="C206" s="14" t="s">
        <v>57</v>
      </c>
      <c r="D206" s="14" t="s">
        <v>49</v>
      </c>
    </row>
    <row r="207" customFormat="false" ht="15" hidden="false" customHeight="false" outlineLevel="0" collapsed="false">
      <c r="A207" s="14" t="n">
        <v>203</v>
      </c>
      <c r="B207" s="14" t="s">
        <v>94</v>
      </c>
      <c r="C207" s="14" t="s">
        <v>53</v>
      </c>
      <c r="D207" s="14" t="s">
        <v>67</v>
      </c>
    </row>
    <row r="208" customFormat="false" ht="15" hidden="false" customHeight="false" outlineLevel="0" collapsed="false">
      <c r="A208" s="14" t="n">
        <v>204</v>
      </c>
      <c r="B208" s="14" t="s">
        <v>111</v>
      </c>
      <c r="C208" s="14" t="s">
        <v>48</v>
      </c>
      <c r="D208" s="14" t="s">
        <v>51</v>
      </c>
    </row>
    <row r="209" customFormat="false" ht="15" hidden="false" customHeight="false" outlineLevel="0" collapsed="false">
      <c r="A209" s="14" t="n">
        <v>205</v>
      </c>
      <c r="B209" s="14" t="s">
        <v>94</v>
      </c>
      <c r="C209" s="14" t="s">
        <v>53</v>
      </c>
      <c r="D209" s="14" t="s">
        <v>49</v>
      </c>
    </row>
    <row r="210" customFormat="false" ht="15" hidden="false" customHeight="false" outlineLevel="0" collapsed="false">
      <c r="A210" s="14" t="n">
        <v>206</v>
      </c>
      <c r="B210" s="14" t="s">
        <v>96</v>
      </c>
      <c r="C210" s="14" t="s">
        <v>48</v>
      </c>
      <c r="D210" s="14" t="s">
        <v>49</v>
      </c>
    </row>
    <row r="211" customFormat="false" ht="15" hidden="false" customHeight="false" outlineLevel="0" collapsed="false">
      <c r="A211" s="14" t="n">
        <v>207</v>
      </c>
      <c r="B211" s="14" t="s">
        <v>87</v>
      </c>
      <c r="C211" s="14" t="s">
        <v>57</v>
      </c>
      <c r="D211" s="14" t="s">
        <v>54</v>
      </c>
    </row>
    <row r="212" customFormat="false" ht="15" hidden="false" customHeight="false" outlineLevel="0" collapsed="false">
      <c r="A212" s="14" t="n">
        <v>208</v>
      </c>
      <c r="B212" s="14" t="s">
        <v>100</v>
      </c>
      <c r="C212" s="14" t="s">
        <v>57</v>
      </c>
      <c r="D212" s="14" t="s">
        <v>51</v>
      </c>
    </row>
    <row r="213" customFormat="false" ht="15" hidden="false" customHeight="false" outlineLevel="0" collapsed="false">
      <c r="A213" s="14" t="n">
        <v>209</v>
      </c>
      <c r="B213" s="14" t="s">
        <v>112</v>
      </c>
      <c r="C213" s="14" t="s">
        <v>48</v>
      </c>
      <c r="D213" s="14" t="s">
        <v>73</v>
      </c>
    </row>
    <row r="214" customFormat="false" ht="15" hidden="false" customHeight="false" outlineLevel="0" collapsed="false">
      <c r="A214" s="14" t="n">
        <v>210</v>
      </c>
      <c r="B214" s="14" t="s">
        <v>63</v>
      </c>
      <c r="C214" s="14" t="s">
        <v>53</v>
      </c>
      <c r="D214" s="14" t="s">
        <v>51</v>
      </c>
    </row>
    <row r="215" customFormat="false" ht="15" hidden="false" customHeight="false" outlineLevel="0" collapsed="false">
      <c r="A215" s="14" t="n">
        <v>211</v>
      </c>
      <c r="B215" s="14" t="s">
        <v>63</v>
      </c>
      <c r="C215" s="14" t="s">
        <v>57</v>
      </c>
      <c r="D215" s="14" t="s">
        <v>49</v>
      </c>
    </row>
    <row r="216" customFormat="false" ht="15" hidden="false" customHeight="false" outlineLevel="0" collapsed="false">
      <c r="A216" s="14" t="n">
        <v>212</v>
      </c>
      <c r="B216" s="14" t="s">
        <v>58</v>
      </c>
      <c r="C216" s="14" t="s">
        <v>53</v>
      </c>
      <c r="D216" s="14" t="s">
        <v>51</v>
      </c>
    </row>
    <row r="217" customFormat="false" ht="15" hidden="false" customHeight="false" outlineLevel="0" collapsed="false">
      <c r="A217" s="14" t="n">
        <v>213</v>
      </c>
      <c r="B217" s="14" t="s">
        <v>65</v>
      </c>
      <c r="C217" s="14" t="s">
        <v>48</v>
      </c>
      <c r="D217" s="14" t="s">
        <v>49</v>
      </c>
    </row>
    <row r="218" customFormat="false" ht="15" hidden="false" customHeight="false" outlineLevel="0" collapsed="false">
      <c r="A218" s="14" t="n">
        <v>214</v>
      </c>
      <c r="B218" s="14" t="s">
        <v>86</v>
      </c>
      <c r="C218" s="14" t="s">
        <v>48</v>
      </c>
      <c r="D218" s="14" t="s">
        <v>54</v>
      </c>
    </row>
    <row r="219" customFormat="false" ht="15" hidden="false" customHeight="false" outlineLevel="0" collapsed="false">
      <c r="A219" s="14" t="n">
        <v>215</v>
      </c>
      <c r="B219" s="14" t="s">
        <v>108</v>
      </c>
      <c r="C219" s="14" t="s">
        <v>48</v>
      </c>
      <c r="D219" s="14" t="s">
        <v>49</v>
      </c>
    </row>
    <row r="220" customFormat="false" ht="15" hidden="false" customHeight="false" outlineLevel="0" collapsed="false">
      <c r="A220" s="14" t="n">
        <v>216</v>
      </c>
      <c r="B220" s="14" t="s">
        <v>52</v>
      </c>
      <c r="C220" s="14" t="s">
        <v>53</v>
      </c>
      <c r="D220" s="14" t="s">
        <v>51</v>
      </c>
    </row>
    <row r="221" customFormat="false" ht="15" hidden="false" customHeight="false" outlineLevel="0" collapsed="false">
      <c r="A221" s="14" t="n">
        <v>217</v>
      </c>
      <c r="B221" s="14" t="s">
        <v>81</v>
      </c>
      <c r="C221" s="14" t="s">
        <v>48</v>
      </c>
      <c r="D221" s="14" t="s">
        <v>51</v>
      </c>
    </row>
    <row r="222" customFormat="false" ht="15" hidden="false" customHeight="false" outlineLevel="0" collapsed="false">
      <c r="A222" s="14" t="n">
        <v>218</v>
      </c>
      <c r="B222" s="14" t="s">
        <v>63</v>
      </c>
      <c r="C222" s="14" t="s">
        <v>57</v>
      </c>
      <c r="D222" s="14" t="s">
        <v>49</v>
      </c>
    </row>
    <row r="223" customFormat="false" ht="15" hidden="false" customHeight="false" outlineLevel="0" collapsed="false">
      <c r="A223" s="14" t="n">
        <v>219</v>
      </c>
      <c r="B223" s="14" t="s">
        <v>110</v>
      </c>
      <c r="C223" s="14" t="s">
        <v>53</v>
      </c>
      <c r="D223" s="14" t="s">
        <v>51</v>
      </c>
    </row>
    <row r="224" customFormat="false" ht="15" hidden="false" customHeight="false" outlineLevel="0" collapsed="false">
      <c r="A224" s="14" t="n">
        <v>220</v>
      </c>
      <c r="B224" s="14" t="s">
        <v>50</v>
      </c>
      <c r="C224" s="14" t="s">
        <v>57</v>
      </c>
      <c r="D224" s="14" t="s">
        <v>67</v>
      </c>
    </row>
    <row r="225" customFormat="false" ht="15" hidden="false" customHeight="false" outlineLevel="0" collapsed="false">
      <c r="A225" s="14" t="n">
        <v>221</v>
      </c>
      <c r="B225" s="14" t="s">
        <v>68</v>
      </c>
      <c r="C225" s="14" t="s">
        <v>53</v>
      </c>
      <c r="D225" s="14" t="s">
        <v>49</v>
      </c>
    </row>
    <row r="226" customFormat="false" ht="15" hidden="false" customHeight="false" outlineLevel="0" collapsed="false">
      <c r="A226" s="14" t="n">
        <v>222</v>
      </c>
      <c r="B226" s="14" t="s">
        <v>95</v>
      </c>
      <c r="C226" s="14" t="s">
        <v>53</v>
      </c>
      <c r="D226" s="14" t="s">
        <v>51</v>
      </c>
    </row>
    <row r="227" customFormat="false" ht="15" hidden="false" customHeight="false" outlineLevel="0" collapsed="false">
      <c r="A227" s="14" t="n">
        <v>223</v>
      </c>
      <c r="B227" s="14" t="s">
        <v>69</v>
      </c>
      <c r="C227" s="14" t="s">
        <v>53</v>
      </c>
      <c r="D227" s="14" t="s">
        <v>54</v>
      </c>
    </row>
    <row r="228" customFormat="false" ht="15" hidden="false" customHeight="false" outlineLevel="0" collapsed="false">
      <c r="A228" s="14" t="n">
        <v>224</v>
      </c>
      <c r="B228" s="14" t="s">
        <v>103</v>
      </c>
      <c r="C228" s="14" t="s">
        <v>57</v>
      </c>
      <c r="D228" s="14" t="s">
        <v>67</v>
      </c>
    </row>
    <row r="229" customFormat="false" ht="15" hidden="false" customHeight="false" outlineLevel="0" collapsed="false">
      <c r="A229" s="14" t="n">
        <v>225</v>
      </c>
      <c r="B229" s="14" t="s">
        <v>88</v>
      </c>
      <c r="C229" s="14" t="s">
        <v>57</v>
      </c>
      <c r="D229" s="14" t="s">
        <v>51</v>
      </c>
    </row>
    <row r="230" customFormat="false" ht="15" hidden="false" customHeight="false" outlineLevel="0" collapsed="false">
      <c r="A230" s="14" t="n">
        <v>226</v>
      </c>
      <c r="B230" s="14" t="s">
        <v>66</v>
      </c>
      <c r="C230" s="14" t="s">
        <v>57</v>
      </c>
      <c r="D230" s="14" t="s">
        <v>51</v>
      </c>
    </row>
    <row r="231" customFormat="false" ht="15" hidden="false" customHeight="false" outlineLevel="0" collapsed="false">
      <c r="A231" s="14" t="n">
        <v>227</v>
      </c>
      <c r="B231" s="14" t="s">
        <v>90</v>
      </c>
      <c r="C231" s="14" t="s">
        <v>53</v>
      </c>
      <c r="D231" s="14" t="s">
        <v>49</v>
      </c>
    </row>
    <row r="232" customFormat="false" ht="15" hidden="false" customHeight="false" outlineLevel="0" collapsed="false">
      <c r="A232" s="14" t="n">
        <v>228</v>
      </c>
      <c r="B232" s="14" t="s">
        <v>92</v>
      </c>
      <c r="C232" s="14" t="s">
        <v>48</v>
      </c>
      <c r="D232" s="14" t="s">
        <v>51</v>
      </c>
    </row>
    <row r="233" customFormat="false" ht="15" hidden="false" customHeight="false" outlineLevel="0" collapsed="false">
      <c r="A233" s="14" t="n">
        <v>229</v>
      </c>
      <c r="B233" s="14" t="s">
        <v>52</v>
      </c>
      <c r="C233" s="14" t="s">
        <v>57</v>
      </c>
      <c r="D233" s="14" t="s">
        <v>51</v>
      </c>
    </row>
    <row r="234" customFormat="false" ht="15" hidden="false" customHeight="false" outlineLevel="0" collapsed="false">
      <c r="A234" s="14" t="n">
        <v>230</v>
      </c>
      <c r="B234" s="14" t="s">
        <v>102</v>
      </c>
      <c r="C234" s="14" t="s">
        <v>48</v>
      </c>
      <c r="D234" s="14" t="s">
        <v>51</v>
      </c>
    </row>
    <row r="235" customFormat="false" ht="15" hidden="false" customHeight="false" outlineLevel="0" collapsed="false">
      <c r="A235" s="14" t="n">
        <v>231</v>
      </c>
      <c r="B235" s="14" t="s">
        <v>65</v>
      </c>
      <c r="C235" s="14" t="s">
        <v>48</v>
      </c>
      <c r="D235" s="14" t="s">
        <v>49</v>
      </c>
    </row>
    <row r="236" customFormat="false" ht="15" hidden="false" customHeight="false" outlineLevel="0" collapsed="false">
      <c r="A236" s="14" t="n">
        <v>232</v>
      </c>
      <c r="B236" s="14" t="s">
        <v>55</v>
      </c>
      <c r="C236" s="14" t="s">
        <v>57</v>
      </c>
      <c r="D236" s="14" t="s">
        <v>49</v>
      </c>
    </row>
    <row r="237" customFormat="false" ht="15" hidden="false" customHeight="false" outlineLevel="0" collapsed="false">
      <c r="A237" s="14" t="n">
        <v>233</v>
      </c>
      <c r="B237" s="14" t="s">
        <v>88</v>
      </c>
      <c r="C237" s="14" t="s">
        <v>48</v>
      </c>
      <c r="D237" s="14" t="s">
        <v>51</v>
      </c>
    </row>
    <row r="238" customFormat="false" ht="15" hidden="false" customHeight="false" outlineLevel="0" collapsed="false">
      <c r="A238" s="14" t="n">
        <v>234</v>
      </c>
      <c r="B238" s="14" t="s">
        <v>110</v>
      </c>
      <c r="C238" s="14" t="s">
        <v>48</v>
      </c>
      <c r="D238" s="14" t="s">
        <v>51</v>
      </c>
    </row>
    <row r="239" customFormat="false" ht="15" hidden="false" customHeight="false" outlineLevel="0" collapsed="false">
      <c r="A239" s="14" t="n">
        <v>235</v>
      </c>
      <c r="B239" s="14" t="s">
        <v>75</v>
      </c>
      <c r="C239" s="14" t="s">
        <v>57</v>
      </c>
      <c r="D239" s="14" t="s">
        <v>49</v>
      </c>
    </row>
    <row r="240" customFormat="false" ht="15" hidden="false" customHeight="false" outlineLevel="0" collapsed="false">
      <c r="A240" s="14" t="n">
        <v>236</v>
      </c>
      <c r="B240" s="14" t="s">
        <v>96</v>
      </c>
      <c r="C240" s="14" t="s">
        <v>57</v>
      </c>
      <c r="D240" s="14" t="s">
        <v>51</v>
      </c>
    </row>
    <row r="241" customFormat="false" ht="15" hidden="false" customHeight="false" outlineLevel="0" collapsed="false">
      <c r="A241" s="14" t="n">
        <v>237</v>
      </c>
      <c r="B241" s="14" t="s">
        <v>95</v>
      </c>
      <c r="C241" s="14" t="s">
        <v>53</v>
      </c>
      <c r="D241" s="14" t="s">
        <v>51</v>
      </c>
    </row>
    <row r="242" customFormat="false" ht="15" hidden="false" customHeight="false" outlineLevel="0" collapsed="false">
      <c r="A242" s="14" t="n">
        <v>238</v>
      </c>
      <c r="B242" s="14" t="s">
        <v>112</v>
      </c>
      <c r="C242" s="14" t="s">
        <v>57</v>
      </c>
      <c r="D242" s="14" t="s">
        <v>67</v>
      </c>
    </row>
    <row r="243" customFormat="false" ht="15" hidden="false" customHeight="false" outlineLevel="0" collapsed="false">
      <c r="A243" s="14" t="n">
        <v>239</v>
      </c>
      <c r="B243" s="14" t="s">
        <v>76</v>
      </c>
      <c r="C243" s="14" t="s">
        <v>57</v>
      </c>
      <c r="D243" s="14" t="s">
        <v>67</v>
      </c>
    </row>
    <row r="244" customFormat="false" ht="15" hidden="false" customHeight="false" outlineLevel="0" collapsed="false">
      <c r="A244" s="14" t="n">
        <v>240</v>
      </c>
      <c r="B244" s="14" t="s">
        <v>93</v>
      </c>
      <c r="C244" s="14" t="s">
        <v>57</v>
      </c>
      <c r="D244" s="14" t="s">
        <v>67</v>
      </c>
    </row>
    <row r="245" customFormat="false" ht="15" hidden="false" customHeight="false" outlineLevel="0" collapsed="false">
      <c r="A245" s="14" t="n">
        <v>241</v>
      </c>
      <c r="B245" s="14" t="s">
        <v>91</v>
      </c>
      <c r="C245" s="14" t="s">
        <v>57</v>
      </c>
      <c r="D245" s="14" t="s">
        <v>49</v>
      </c>
    </row>
    <row r="246" customFormat="false" ht="15" hidden="false" customHeight="false" outlineLevel="0" collapsed="false">
      <c r="A246" s="14" t="n">
        <v>242</v>
      </c>
      <c r="B246" s="14" t="s">
        <v>72</v>
      </c>
      <c r="C246" s="14" t="s">
        <v>53</v>
      </c>
      <c r="D246" s="14" t="s">
        <v>51</v>
      </c>
    </row>
    <row r="247" customFormat="false" ht="15" hidden="false" customHeight="false" outlineLevel="0" collapsed="false">
      <c r="A247" s="14" t="n">
        <v>243</v>
      </c>
      <c r="B247" s="14" t="s">
        <v>88</v>
      </c>
      <c r="C247" s="14" t="s">
        <v>57</v>
      </c>
      <c r="D247" s="14" t="s">
        <v>67</v>
      </c>
    </row>
    <row r="248" customFormat="false" ht="15" hidden="false" customHeight="false" outlineLevel="0" collapsed="false">
      <c r="A248" s="14" t="n">
        <v>244</v>
      </c>
      <c r="B248" s="14" t="s">
        <v>56</v>
      </c>
      <c r="C248" s="14" t="s">
        <v>48</v>
      </c>
      <c r="D248" s="14" t="s">
        <v>73</v>
      </c>
    </row>
    <row r="249" customFormat="false" ht="15" hidden="false" customHeight="false" outlineLevel="0" collapsed="false">
      <c r="A249" s="14" t="n">
        <v>245</v>
      </c>
      <c r="B249" s="14" t="s">
        <v>70</v>
      </c>
      <c r="C249" s="14" t="s">
        <v>57</v>
      </c>
      <c r="D249" s="14" t="s">
        <v>67</v>
      </c>
    </row>
    <row r="250" customFormat="false" ht="15" hidden="false" customHeight="false" outlineLevel="0" collapsed="false">
      <c r="A250" s="14" t="n">
        <v>246</v>
      </c>
      <c r="B250" s="14" t="s">
        <v>81</v>
      </c>
      <c r="C250" s="14" t="s">
        <v>48</v>
      </c>
      <c r="D250" s="14" t="s">
        <v>49</v>
      </c>
    </row>
    <row r="251" customFormat="false" ht="15" hidden="false" customHeight="false" outlineLevel="0" collapsed="false">
      <c r="A251" s="14" t="n">
        <v>247</v>
      </c>
      <c r="B251" s="14" t="s">
        <v>91</v>
      </c>
      <c r="C251" s="14" t="s">
        <v>57</v>
      </c>
      <c r="D251" s="14" t="s">
        <v>49</v>
      </c>
    </row>
    <row r="252" customFormat="false" ht="15" hidden="false" customHeight="false" outlineLevel="0" collapsed="false">
      <c r="A252" s="14" t="n">
        <v>248</v>
      </c>
      <c r="B252" s="14" t="s">
        <v>95</v>
      </c>
      <c r="C252" s="14" t="s">
        <v>57</v>
      </c>
      <c r="D252" s="14" t="s">
        <v>51</v>
      </c>
    </row>
    <row r="253" customFormat="false" ht="15" hidden="false" customHeight="false" outlineLevel="0" collapsed="false">
      <c r="A253" s="14" t="n">
        <v>249</v>
      </c>
      <c r="B253" s="14" t="s">
        <v>69</v>
      </c>
      <c r="C253" s="14" t="s">
        <v>57</v>
      </c>
      <c r="D253" s="14" t="s">
        <v>51</v>
      </c>
    </row>
    <row r="254" customFormat="false" ht="15" hidden="false" customHeight="false" outlineLevel="0" collapsed="false">
      <c r="A254" s="14" t="n">
        <v>250</v>
      </c>
      <c r="B254" s="14" t="s">
        <v>113</v>
      </c>
      <c r="C254" s="14" t="s">
        <v>57</v>
      </c>
      <c r="D254" s="14" t="s">
        <v>51</v>
      </c>
    </row>
    <row r="255" customFormat="false" ht="15" hidden="false" customHeight="false" outlineLevel="0" collapsed="false">
      <c r="A255" s="14" t="n">
        <v>251</v>
      </c>
      <c r="B255" s="14" t="s">
        <v>114</v>
      </c>
      <c r="C255" s="14" t="s">
        <v>53</v>
      </c>
      <c r="D255" s="14" t="s">
        <v>49</v>
      </c>
    </row>
    <row r="256" customFormat="false" ht="15" hidden="false" customHeight="false" outlineLevel="0" collapsed="false">
      <c r="A256" s="14" t="n">
        <v>252</v>
      </c>
      <c r="B256" s="14" t="s">
        <v>107</v>
      </c>
      <c r="C256" s="14" t="s">
        <v>57</v>
      </c>
      <c r="D256" s="14" t="s">
        <v>67</v>
      </c>
    </row>
    <row r="257" customFormat="false" ht="15" hidden="false" customHeight="false" outlineLevel="0" collapsed="false">
      <c r="A257" s="14" t="n">
        <v>253</v>
      </c>
      <c r="B257" s="14" t="s">
        <v>98</v>
      </c>
      <c r="C257" s="14" t="s">
        <v>48</v>
      </c>
      <c r="D257" s="14" t="s">
        <v>54</v>
      </c>
    </row>
    <row r="258" customFormat="false" ht="15" hidden="false" customHeight="false" outlineLevel="0" collapsed="false">
      <c r="A258" s="14" t="n">
        <v>254</v>
      </c>
      <c r="B258" s="14" t="s">
        <v>62</v>
      </c>
      <c r="C258" s="14" t="s">
        <v>48</v>
      </c>
      <c r="D258" s="14" t="s">
        <v>49</v>
      </c>
    </row>
    <row r="259" customFormat="false" ht="15" hidden="false" customHeight="false" outlineLevel="0" collapsed="false">
      <c r="A259" s="14" t="n">
        <v>255</v>
      </c>
      <c r="B259" s="14" t="s">
        <v>87</v>
      </c>
      <c r="C259" s="14" t="s">
        <v>57</v>
      </c>
      <c r="D259" s="14" t="s">
        <v>49</v>
      </c>
    </row>
    <row r="260" customFormat="false" ht="15" hidden="false" customHeight="false" outlineLevel="0" collapsed="false">
      <c r="A260" s="14" t="n">
        <v>256</v>
      </c>
      <c r="B260" s="14" t="s">
        <v>112</v>
      </c>
      <c r="C260" s="14" t="s">
        <v>57</v>
      </c>
      <c r="D260" s="14" t="s">
        <v>67</v>
      </c>
    </row>
    <row r="261" customFormat="false" ht="15" hidden="false" customHeight="false" outlineLevel="0" collapsed="false">
      <c r="A261" s="14" t="n">
        <v>257</v>
      </c>
      <c r="B261" s="14" t="s">
        <v>80</v>
      </c>
      <c r="C261" s="14" t="s">
        <v>57</v>
      </c>
      <c r="D261" s="14" t="s">
        <v>54</v>
      </c>
    </row>
    <row r="262" customFormat="false" ht="15" hidden="false" customHeight="false" outlineLevel="0" collapsed="false">
      <c r="A262" s="14" t="n">
        <v>258</v>
      </c>
      <c r="B262" s="14" t="s">
        <v>83</v>
      </c>
      <c r="C262" s="14" t="s">
        <v>48</v>
      </c>
      <c r="D262" s="14" t="s">
        <v>67</v>
      </c>
    </row>
    <row r="263" customFormat="false" ht="15" hidden="false" customHeight="false" outlineLevel="0" collapsed="false">
      <c r="A263" s="14" t="n">
        <v>259</v>
      </c>
      <c r="B263" s="14" t="s">
        <v>77</v>
      </c>
      <c r="C263" s="14" t="s">
        <v>53</v>
      </c>
      <c r="D263" s="14" t="s">
        <v>49</v>
      </c>
    </row>
    <row r="264" customFormat="false" ht="15" hidden="false" customHeight="false" outlineLevel="0" collapsed="false">
      <c r="A264" s="14" t="n">
        <v>260</v>
      </c>
      <c r="B264" s="14" t="s">
        <v>60</v>
      </c>
      <c r="C264" s="14" t="s">
        <v>48</v>
      </c>
      <c r="D264" s="14" t="s">
        <v>54</v>
      </c>
    </row>
    <row r="265" customFormat="false" ht="15" hidden="false" customHeight="false" outlineLevel="0" collapsed="false">
      <c r="A265" s="14" t="n">
        <v>261</v>
      </c>
      <c r="B265" s="14" t="s">
        <v>107</v>
      </c>
      <c r="C265" s="14" t="s">
        <v>57</v>
      </c>
      <c r="D265" s="14" t="s">
        <v>51</v>
      </c>
    </row>
    <row r="266" customFormat="false" ht="15" hidden="false" customHeight="false" outlineLevel="0" collapsed="false">
      <c r="A266" s="14" t="n">
        <v>262</v>
      </c>
      <c r="B266" s="14" t="s">
        <v>94</v>
      </c>
      <c r="C266" s="14" t="s">
        <v>53</v>
      </c>
      <c r="D266" s="14" t="s">
        <v>49</v>
      </c>
    </row>
    <row r="267" customFormat="false" ht="15" hidden="false" customHeight="false" outlineLevel="0" collapsed="false">
      <c r="A267" s="14" t="n">
        <v>263</v>
      </c>
      <c r="B267" s="14" t="s">
        <v>55</v>
      </c>
      <c r="C267" s="14" t="s">
        <v>57</v>
      </c>
      <c r="D267" s="14" t="s">
        <v>54</v>
      </c>
    </row>
    <row r="268" customFormat="false" ht="15" hidden="false" customHeight="false" outlineLevel="0" collapsed="false">
      <c r="A268" s="14" t="n">
        <v>264</v>
      </c>
      <c r="B268" s="14" t="s">
        <v>79</v>
      </c>
      <c r="C268" s="14" t="s">
        <v>57</v>
      </c>
      <c r="D268" s="14" t="s">
        <v>49</v>
      </c>
    </row>
    <row r="269" customFormat="false" ht="15" hidden="false" customHeight="false" outlineLevel="0" collapsed="false">
      <c r="A269" s="14" t="n">
        <v>265</v>
      </c>
      <c r="B269" s="14" t="s">
        <v>99</v>
      </c>
      <c r="C269" s="14" t="s">
        <v>57</v>
      </c>
      <c r="D269" s="14" t="s">
        <v>49</v>
      </c>
    </row>
    <row r="270" customFormat="false" ht="15" hidden="false" customHeight="false" outlineLevel="0" collapsed="false">
      <c r="A270" s="14" t="n">
        <v>266</v>
      </c>
      <c r="B270" s="14" t="s">
        <v>96</v>
      </c>
      <c r="C270" s="14" t="s">
        <v>53</v>
      </c>
      <c r="D270" s="14" t="s">
        <v>49</v>
      </c>
    </row>
    <row r="271" customFormat="false" ht="15" hidden="false" customHeight="false" outlineLevel="0" collapsed="false">
      <c r="A271" s="14" t="n">
        <v>267</v>
      </c>
      <c r="B271" s="14" t="s">
        <v>77</v>
      </c>
      <c r="C271" s="14" t="s">
        <v>48</v>
      </c>
      <c r="D271" s="14" t="s">
        <v>51</v>
      </c>
    </row>
    <row r="272" customFormat="false" ht="15" hidden="false" customHeight="false" outlineLevel="0" collapsed="false">
      <c r="A272" s="14" t="n">
        <v>268</v>
      </c>
      <c r="B272" s="14" t="s">
        <v>105</v>
      </c>
      <c r="C272" s="14" t="s">
        <v>48</v>
      </c>
      <c r="D272" s="14" t="s">
        <v>54</v>
      </c>
    </row>
    <row r="273" customFormat="false" ht="15" hidden="false" customHeight="false" outlineLevel="0" collapsed="false">
      <c r="A273" s="14" t="n">
        <v>269</v>
      </c>
      <c r="B273" s="14" t="s">
        <v>47</v>
      </c>
      <c r="C273" s="14" t="s">
        <v>53</v>
      </c>
      <c r="D273" s="14" t="s">
        <v>49</v>
      </c>
    </row>
    <row r="274" customFormat="false" ht="15" hidden="false" customHeight="false" outlineLevel="0" collapsed="false">
      <c r="A274" s="14" t="n">
        <v>270</v>
      </c>
      <c r="B274" s="14" t="s">
        <v>88</v>
      </c>
      <c r="C274" s="14" t="s">
        <v>57</v>
      </c>
      <c r="D274" s="14" t="s">
        <v>67</v>
      </c>
    </row>
    <row r="275" customFormat="false" ht="15" hidden="false" customHeight="false" outlineLevel="0" collapsed="false">
      <c r="A275" s="14" t="n">
        <v>271</v>
      </c>
      <c r="B275" s="14" t="s">
        <v>72</v>
      </c>
      <c r="C275" s="14" t="s">
        <v>48</v>
      </c>
      <c r="D275" s="14" t="s">
        <v>73</v>
      </c>
    </row>
    <row r="276" customFormat="false" ht="15" hidden="false" customHeight="false" outlineLevel="0" collapsed="false">
      <c r="A276" s="14" t="n">
        <v>272</v>
      </c>
      <c r="B276" s="14" t="s">
        <v>61</v>
      </c>
      <c r="C276" s="14" t="s">
        <v>48</v>
      </c>
      <c r="D276" s="14" t="s">
        <v>51</v>
      </c>
    </row>
    <row r="277" customFormat="false" ht="15" hidden="false" customHeight="false" outlineLevel="0" collapsed="false">
      <c r="A277" s="14" t="n">
        <v>273</v>
      </c>
      <c r="B277" s="14" t="s">
        <v>108</v>
      </c>
      <c r="C277" s="14" t="s">
        <v>57</v>
      </c>
      <c r="D277" s="14" t="s">
        <v>51</v>
      </c>
    </row>
    <row r="278" customFormat="false" ht="15" hidden="false" customHeight="false" outlineLevel="0" collapsed="false">
      <c r="A278" s="14" t="n">
        <v>274</v>
      </c>
      <c r="B278" s="14" t="s">
        <v>80</v>
      </c>
      <c r="C278" s="14" t="s">
        <v>53</v>
      </c>
      <c r="D278" s="14" t="s">
        <v>67</v>
      </c>
    </row>
    <row r="279" customFormat="false" ht="15" hidden="false" customHeight="false" outlineLevel="0" collapsed="false">
      <c r="A279" s="14" t="n">
        <v>275</v>
      </c>
      <c r="B279" s="14" t="s">
        <v>85</v>
      </c>
      <c r="C279" s="14" t="s">
        <v>57</v>
      </c>
      <c r="D279" s="14" t="s">
        <v>51</v>
      </c>
    </row>
    <row r="280" customFormat="false" ht="15" hidden="false" customHeight="false" outlineLevel="0" collapsed="false">
      <c r="A280" s="14" t="n">
        <v>276</v>
      </c>
      <c r="B280" s="14" t="s">
        <v>111</v>
      </c>
      <c r="C280" s="14" t="s">
        <v>48</v>
      </c>
      <c r="D280" s="14" t="s">
        <v>51</v>
      </c>
    </row>
    <row r="281" customFormat="false" ht="15" hidden="false" customHeight="false" outlineLevel="0" collapsed="false">
      <c r="A281" s="14" t="n">
        <v>277</v>
      </c>
      <c r="B281" s="14" t="s">
        <v>113</v>
      </c>
      <c r="C281" s="14" t="s">
        <v>48</v>
      </c>
      <c r="D281" s="14" t="s">
        <v>49</v>
      </c>
    </row>
    <row r="282" customFormat="false" ht="15" hidden="false" customHeight="false" outlineLevel="0" collapsed="false">
      <c r="A282" s="14" t="n">
        <v>278</v>
      </c>
      <c r="B282" s="14" t="s">
        <v>110</v>
      </c>
      <c r="C282" s="14" t="s">
        <v>48</v>
      </c>
      <c r="D282" s="14" t="s">
        <v>49</v>
      </c>
    </row>
    <row r="283" customFormat="false" ht="15" hidden="false" customHeight="false" outlineLevel="0" collapsed="false">
      <c r="A283" s="14" t="n">
        <v>279</v>
      </c>
      <c r="B283" s="14" t="s">
        <v>62</v>
      </c>
      <c r="C283" s="14" t="s">
        <v>53</v>
      </c>
      <c r="D283" s="14" t="s">
        <v>51</v>
      </c>
    </row>
    <row r="284" customFormat="false" ht="15" hidden="false" customHeight="false" outlineLevel="0" collapsed="false">
      <c r="A284" s="14" t="n">
        <v>280</v>
      </c>
      <c r="B284" s="14" t="s">
        <v>60</v>
      </c>
      <c r="C284" s="14" t="s">
        <v>53</v>
      </c>
      <c r="D284" s="14" t="s">
        <v>49</v>
      </c>
    </row>
    <row r="285" customFormat="false" ht="15" hidden="false" customHeight="false" outlineLevel="0" collapsed="false">
      <c r="A285" s="14" t="n">
        <v>281</v>
      </c>
      <c r="B285" s="14" t="s">
        <v>62</v>
      </c>
      <c r="C285" s="14" t="s">
        <v>57</v>
      </c>
      <c r="D285" s="14" t="s">
        <v>73</v>
      </c>
    </row>
    <row r="286" customFormat="false" ht="15" hidden="false" customHeight="false" outlineLevel="0" collapsed="false">
      <c r="A286" s="14" t="n">
        <v>282</v>
      </c>
      <c r="B286" s="14" t="s">
        <v>70</v>
      </c>
      <c r="C286" s="14" t="s">
        <v>48</v>
      </c>
      <c r="D286" s="14" t="s">
        <v>51</v>
      </c>
    </row>
    <row r="287" customFormat="false" ht="15" hidden="false" customHeight="false" outlineLevel="0" collapsed="false">
      <c r="A287" s="14" t="n">
        <v>283</v>
      </c>
      <c r="B287" s="14" t="s">
        <v>102</v>
      </c>
      <c r="C287" s="14" t="s">
        <v>48</v>
      </c>
      <c r="D287" s="14" t="s">
        <v>54</v>
      </c>
    </row>
    <row r="288" customFormat="false" ht="15" hidden="false" customHeight="false" outlineLevel="0" collapsed="false">
      <c r="A288" s="14" t="n">
        <v>284</v>
      </c>
      <c r="B288" s="14" t="s">
        <v>82</v>
      </c>
      <c r="C288" s="14" t="s">
        <v>57</v>
      </c>
      <c r="D288" s="14" t="s">
        <v>49</v>
      </c>
    </row>
    <row r="289" customFormat="false" ht="15" hidden="false" customHeight="false" outlineLevel="0" collapsed="false">
      <c r="A289" s="14" t="n">
        <v>285</v>
      </c>
      <c r="B289" s="14" t="s">
        <v>52</v>
      </c>
      <c r="C289" s="14" t="s">
        <v>57</v>
      </c>
      <c r="D289" s="14" t="s">
        <v>51</v>
      </c>
    </row>
    <row r="290" customFormat="false" ht="15" hidden="false" customHeight="false" outlineLevel="0" collapsed="false">
      <c r="A290" s="14" t="n">
        <v>286</v>
      </c>
      <c r="B290" s="14" t="s">
        <v>104</v>
      </c>
      <c r="C290" s="14" t="s">
        <v>53</v>
      </c>
      <c r="D290" s="14" t="s">
        <v>51</v>
      </c>
    </row>
    <row r="291" customFormat="false" ht="15" hidden="false" customHeight="false" outlineLevel="0" collapsed="false">
      <c r="A291" s="14" t="n">
        <v>287</v>
      </c>
      <c r="B291" s="14" t="s">
        <v>105</v>
      </c>
      <c r="C291" s="14" t="s">
        <v>48</v>
      </c>
      <c r="D291" s="14" t="s">
        <v>49</v>
      </c>
    </row>
    <row r="292" customFormat="false" ht="15" hidden="false" customHeight="false" outlineLevel="0" collapsed="false">
      <c r="A292" s="14" t="n">
        <v>288</v>
      </c>
      <c r="B292" s="14" t="s">
        <v>75</v>
      </c>
      <c r="C292" s="14" t="s">
        <v>48</v>
      </c>
      <c r="D292" s="14" t="s">
        <v>49</v>
      </c>
    </row>
    <row r="293" customFormat="false" ht="15" hidden="false" customHeight="false" outlineLevel="0" collapsed="false">
      <c r="A293" s="14" t="n">
        <v>289</v>
      </c>
      <c r="B293" s="14" t="s">
        <v>81</v>
      </c>
      <c r="C293" s="14" t="s">
        <v>48</v>
      </c>
      <c r="D293" s="14" t="s">
        <v>54</v>
      </c>
    </row>
    <row r="294" customFormat="false" ht="15" hidden="false" customHeight="false" outlineLevel="0" collapsed="false">
      <c r="A294" s="14" t="n">
        <v>290</v>
      </c>
      <c r="B294" s="14" t="s">
        <v>107</v>
      </c>
      <c r="C294" s="14" t="s">
        <v>57</v>
      </c>
      <c r="D294" s="14" t="s">
        <v>51</v>
      </c>
    </row>
    <row r="295" customFormat="false" ht="15" hidden="false" customHeight="false" outlineLevel="0" collapsed="false">
      <c r="A295" s="14" t="n">
        <v>291</v>
      </c>
      <c r="B295" s="14" t="s">
        <v>72</v>
      </c>
      <c r="C295" s="14" t="s">
        <v>53</v>
      </c>
      <c r="D295" s="14" t="s">
        <v>67</v>
      </c>
    </row>
    <row r="296" customFormat="false" ht="15" hidden="false" customHeight="false" outlineLevel="0" collapsed="false">
      <c r="A296" s="14" t="n">
        <v>292</v>
      </c>
      <c r="B296" s="14" t="s">
        <v>86</v>
      </c>
      <c r="C296" s="14" t="s">
        <v>57</v>
      </c>
      <c r="D296" s="14" t="s">
        <v>51</v>
      </c>
    </row>
    <row r="297" customFormat="false" ht="15" hidden="false" customHeight="false" outlineLevel="0" collapsed="false">
      <c r="A297" s="14" t="n">
        <v>293</v>
      </c>
      <c r="B297" s="14" t="s">
        <v>107</v>
      </c>
      <c r="C297" s="14" t="s">
        <v>57</v>
      </c>
      <c r="D297" s="14" t="s">
        <v>67</v>
      </c>
    </row>
    <row r="298" customFormat="false" ht="15" hidden="false" customHeight="false" outlineLevel="0" collapsed="false">
      <c r="A298" s="14" t="n">
        <v>294</v>
      </c>
      <c r="B298" s="14" t="s">
        <v>59</v>
      </c>
      <c r="C298" s="14" t="s">
        <v>57</v>
      </c>
      <c r="D298" s="14" t="s">
        <v>54</v>
      </c>
    </row>
    <row r="299" customFormat="false" ht="15" hidden="false" customHeight="false" outlineLevel="0" collapsed="false">
      <c r="A299" s="14" t="n">
        <v>295</v>
      </c>
      <c r="B299" s="14" t="s">
        <v>75</v>
      </c>
      <c r="C299" s="14" t="s">
        <v>53</v>
      </c>
      <c r="D299" s="14" t="s">
        <v>49</v>
      </c>
    </row>
    <row r="300" customFormat="false" ht="15" hidden="false" customHeight="false" outlineLevel="0" collapsed="false">
      <c r="A300" s="14" t="n">
        <v>296</v>
      </c>
      <c r="B300" s="14" t="s">
        <v>88</v>
      </c>
      <c r="C300" s="14" t="s">
        <v>53</v>
      </c>
      <c r="D300" s="14" t="s">
        <v>49</v>
      </c>
    </row>
    <row r="301" customFormat="false" ht="15" hidden="false" customHeight="false" outlineLevel="0" collapsed="false">
      <c r="A301" s="14" t="n">
        <v>297</v>
      </c>
      <c r="B301" s="14" t="s">
        <v>99</v>
      </c>
      <c r="C301" s="14" t="s">
        <v>53</v>
      </c>
      <c r="D301" s="14" t="s">
        <v>73</v>
      </c>
    </row>
    <row r="302" customFormat="false" ht="15" hidden="false" customHeight="false" outlineLevel="0" collapsed="false">
      <c r="A302" s="14" t="n">
        <v>298</v>
      </c>
      <c r="B302" s="14" t="s">
        <v>71</v>
      </c>
      <c r="C302" s="14" t="s">
        <v>48</v>
      </c>
      <c r="D302" s="14" t="s">
        <v>51</v>
      </c>
    </row>
    <row r="303" customFormat="false" ht="15" hidden="false" customHeight="false" outlineLevel="0" collapsed="false">
      <c r="A303" s="14" t="n">
        <v>299</v>
      </c>
      <c r="B303" s="14" t="s">
        <v>80</v>
      </c>
      <c r="C303" s="14" t="s">
        <v>48</v>
      </c>
      <c r="D303" s="14" t="s">
        <v>73</v>
      </c>
    </row>
    <row r="304" customFormat="false" ht="15" hidden="false" customHeight="false" outlineLevel="0" collapsed="false">
      <c r="A304" s="14" t="n">
        <v>300</v>
      </c>
      <c r="B304" s="14" t="s">
        <v>109</v>
      </c>
      <c r="C304" s="14" t="s">
        <v>48</v>
      </c>
      <c r="D304" s="14" t="s">
        <v>49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8" t="s">
        <v>115</v>
      </c>
      <c r="B1" s="8"/>
      <c r="C1" s="8"/>
      <c r="D1" s="8"/>
      <c r="E1" s="8"/>
    </row>
    <row r="2" customFormat="false" ht="15" hidden="false" customHeight="false" outlineLevel="0" collapsed="false">
      <c r="A2" s="7" t="s">
        <v>116</v>
      </c>
      <c r="B2" s="7"/>
      <c r="C2" s="7"/>
      <c r="D2" s="7"/>
      <c r="E2" s="7"/>
    </row>
    <row r="4" customFormat="false" ht="26.85" hidden="false" customHeight="false" outlineLevel="0" collapsed="false">
      <c r="A4" s="9" t="s">
        <v>117</v>
      </c>
      <c r="B4" s="9" t="s">
        <v>118</v>
      </c>
      <c r="C4" s="9" t="s">
        <v>119</v>
      </c>
      <c r="D4" s="9" t="s">
        <v>120</v>
      </c>
    </row>
    <row r="5" customFormat="false" ht="15" hidden="false" customHeight="false" outlineLevel="0" collapsed="false">
      <c r="A5" s="4" t="s">
        <v>49</v>
      </c>
      <c r="B5" s="4" t="n">
        <f aca="false">COUNTIF(Raw_Defect_Log!$D$5:$D$304,A5)</f>
        <v>104</v>
      </c>
      <c r="C5" s="17" t="n">
        <f aca="false">B5/SUM($B$5:$B$9)</f>
        <v>0.346666666666667</v>
      </c>
      <c r="D5" s="17" t="n">
        <f aca="false">C5</f>
        <v>0.346666666666667</v>
      </c>
    </row>
    <row r="6" customFormat="false" ht="15" hidden="false" customHeight="false" outlineLevel="0" collapsed="false">
      <c r="A6" s="4" t="s">
        <v>51</v>
      </c>
      <c r="B6" s="4" t="n">
        <f aca="false">COUNTIF(Raw_Defect_Log!$D$5:$D$304,A6)</f>
        <v>92</v>
      </c>
      <c r="C6" s="17" t="n">
        <f aca="false">B6/SUM($B$5:$B$9)</f>
        <v>0.306666666666667</v>
      </c>
      <c r="D6" s="17" t="n">
        <f aca="false">D5+C6</f>
        <v>0.653333333333333</v>
      </c>
    </row>
    <row r="7" customFormat="false" ht="15" hidden="false" customHeight="false" outlineLevel="0" collapsed="false">
      <c r="A7" s="4" t="s">
        <v>67</v>
      </c>
      <c r="B7" s="4" t="n">
        <f aca="false">COUNTIF(Raw_Defect_Log!$D$5:$D$304,A7)</f>
        <v>46</v>
      </c>
      <c r="C7" s="17" t="n">
        <f aca="false">B7/SUM($B$5:$B$9)</f>
        <v>0.153333333333333</v>
      </c>
      <c r="D7" s="17" t="n">
        <f aca="false">D6+C7</f>
        <v>0.806666666666667</v>
      </c>
    </row>
    <row r="8" customFormat="false" ht="15" hidden="false" customHeight="false" outlineLevel="0" collapsed="false">
      <c r="A8" s="4" t="s">
        <v>54</v>
      </c>
      <c r="B8" s="4" t="n">
        <f aca="false">COUNTIF(Raw_Defect_Log!$D$5:$D$304,A8)</f>
        <v>38</v>
      </c>
      <c r="C8" s="17" t="n">
        <f aca="false">B8/SUM($B$5:$B$9)</f>
        <v>0.126666666666667</v>
      </c>
      <c r="D8" s="17" t="n">
        <f aca="false">D7+C8</f>
        <v>0.933333333333333</v>
      </c>
    </row>
    <row r="9" customFormat="false" ht="15" hidden="false" customHeight="false" outlineLevel="0" collapsed="false">
      <c r="A9" s="4" t="s">
        <v>73</v>
      </c>
      <c r="B9" s="4" t="n">
        <f aca="false">COUNTIF(Raw_Defect_Log!$D$5:$D$304,A9)</f>
        <v>20</v>
      </c>
      <c r="C9" s="17" t="n">
        <f aca="false">B9/SUM($B$5:$B$9)</f>
        <v>0.0666666666666667</v>
      </c>
      <c r="D9" s="17" t="n">
        <f aca="false">D8+C9</f>
        <v>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34"/>
  </cols>
  <sheetData>
    <row r="1" customFormat="false" ht="19.7" hidden="false" customHeight="false" outlineLevel="0" collapsed="false">
      <c r="A1" s="8" t="s">
        <v>121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false" outlineLevel="0" collapsed="false">
      <c r="A2" s="7" t="s">
        <v>122</v>
      </c>
      <c r="B2" s="7"/>
      <c r="C2" s="7"/>
      <c r="D2" s="7"/>
      <c r="E2" s="7"/>
      <c r="F2" s="7"/>
      <c r="G2" s="7"/>
      <c r="H2" s="7"/>
      <c r="I2" s="7"/>
      <c r="J2" s="7"/>
    </row>
    <row r="4" customFormat="false" ht="30" hidden="false" customHeight="true" outlineLevel="0" collapsed="false">
      <c r="A4" s="9" t="s">
        <v>123</v>
      </c>
      <c r="B4" s="9" t="s">
        <v>117</v>
      </c>
      <c r="C4" s="9" t="s">
        <v>124</v>
      </c>
      <c r="D4" s="9" t="s">
        <v>125</v>
      </c>
      <c r="E4" s="9" t="s">
        <v>126</v>
      </c>
      <c r="F4" s="9" t="s">
        <v>127</v>
      </c>
      <c r="G4" s="9" t="s">
        <v>128</v>
      </c>
      <c r="H4" s="9" t="s">
        <v>129</v>
      </c>
      <c r="I4" s="9" t="s">
        <v>130</v>
      </c>
      <c r="J4" s="9" t="s">
        <v>131</v>
      </c>
    </row>
    <row r="5" customFormat="false" ht="45" hidden="false" customHeight="true" outlineLevel="0" collapsed="false">
      <c r="A5" s="18" t="s">
        <v>132</v>
      </c>
      <c r="B5" s="18" t="s">
        <v>49</v>
      </c>
      <c r="C5" s="18" t="s">
        <v>133</v>
      </c>
      <c r="D5" s="19" t="n">
        <v>8</v>
      </c>
      <c r="E5" s="18" t="s">
        <v>134</v>
      </c>
      <c r="F5" s="19" t="n">
        <v>6</v>
      </c>
      <c r="G5" s="18" t="s">
        <v>135</v>
      </c>
      <c r="H5" s="19" t="n">
        <v>5</v>
      </c>
      <c r="I5" s="20" t="n">
        <f aca="false">D5*F5*H5</f>
        <v>240</v>
      </c>
      <c r="J5" s="18" t="s">
        <v>136</v>
      </c>
    </row>
    <row r="6" customFormat="false" ht="45" hidden="false" customHeight="true" outlineLevel="0" collapsed="false">
      <c r="A6" s="18" t="s">
        <v>137</v>
      </c>
      <c r="B6" s="18" t="s">
        <v>51</v>
      </c>
      <c r="C6" s="18" t="s">
        <v>138</v>
      </c>
      <c r="D6" s="19" t="n">
        <v>7</v>
      </c>
      <c r="E6" s="18" t="s">
        <v>139</v>
      </c>
      <c r="F6" s="19" t="n">
        <v>5</v>
      </c>
      <c r="G6" s="18" t="s">
        <v>140</v>
      </c>
      <c r="H6" s="19" t="n">
        <v>4</v>
      </c>
      <c r="I6" s="20" t="n">
        <f aca="false">D6*F6*H6</f>
        <v>140</v>
      </c>
      <c r="J6" s="18" t="s">
        <v>141</v>
      </c>
    </row>
    <row r="7" customFormat="false" ht="45" hidden="false" customHeight="true" outlineLevel="0" collapsed="false">
      <c r="A7" s="18" t="s">
        <v>142</v>
      </c>
      <c r="B7" s="18" t="s">
        <v>67</v>
      </c>
      <c r="C7" s="18" t="s">
        <v>143</v>
      </c>
      <c r="D7" s="19" t="n">
        <v>5</v>
      </c>
      <c r="E7" s="18" t="s">
        <v>144</v>
      </c>
      <c r="F7" s="19" t="n">
        <v>4</v>
      </c>
      <c r="G7" s="18" t="s">
        <v>145</v>
      </c>
      <c r="H7" s="19" t="n">
        <v>5</v>
      </c>
      <c r="I7" s="20" t="n">
        <f aca="false">D7*F7*H7</f>
        <v>100</v>
      </c>
      <c r="J7" s="18" t="s">
        <v>146</v>
      </c>
    </row>
    <row r="8" customFormat="false" ht="45" hidden="false" customHeight="true" outlineLevel="0" collapsed="false">
      <c r="A8" s="18" t="s">
        <v>147</v>
      </c>
      <c r="B8" s="18" t="s">
        <v>54</v>
      </c>
      <c r="C8" s="18" t="s">
        <v>148</v>
      </c>
      <c r="D8" s="19" t="n">
        <v>6</v>
      </c>
      <c r="E8" s="18" t="s">
        <v>149</v>
      </c>
      <c r="F8" s="19" t="n">
        <v>3</v>
      </c>
      <c r="G8" s="18" t="s">
        <v>150</v>
      </c>
      <c r="H8" s="19" t="n">
        <v>3</v>
      </c>
      <c r="I8" s="20" t="n">
        <f aca="false">D8*F8*H8</f>
        <v>54</v>
      </c>
      <c r="J8" s="18" t="s">
        <v>151</v>
      </c>
    </row>
    <row r="9" customFormat="false" ht="45" hidden="false" customHeight="true" outlineLevel="0" collapsed="false">
      <c r="A9" s="18" t="s">
        <v>147</v>
      </c>
      <c r="B9" s="18" t="s">
        <v>73</v>
      </c>
      <c r="C9" s="18" t="s">
        <v>152</v>
      </c>
      <c r="D9" s="19" t="n">
        <v>4</v>
      </c>
      <c r="E9" s="18" t="s">
        <v>153</v>
      </c>
      <c r="F9" s="19" t="n">
        <v>3</v>
      </c>
      <c r="G9" s="18" t="s">
        <v>154</v>
      </c>
      <c r="H9" s="19" t="n">
        <v>3</v>
      </c>
      <c r="I9" s="20" t="n">
        <f aca="false">D9*F9*H9</f>
        <v>36</v>
      </c>
      <c r="J9" s="18" t="s">
        <v>155</v>
      </c>
    </row>
  </sheetData>
  <mergeCells count="2">
    <mergeCell ref="A1:J1"/>
    <mergeCell ref="A2:J2"/>
  </mergeCells>
  <conditionalFormatting sqref="I5:I9">
    <cfRule type="cellIs" priority="2" operator="greaterThanOrEqual" aboveAverage="0" equalAverage="0" bottom="0" percent="0" rank="0" text="" dxfId="0">
      <formula>150</formula>
    </cfRule>
    <cfRule type="cellIs" priority="3" operator="between" aboveAverage="0" equalAverage="0" bottom="0" percent="0" rank="0" text="" dxfId="1">
      <formula>80</formula>
      <formula>149</formula>
    </cfRule>
    <cfRule type="cellIs" priority="4" operator="lessThan" aboveAverage="0" equalAverage="0" bottom="0" percent="0" rank="0" text="" dxfId="2">
      <formula>80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Priyansh Dhurwey</dc:creator>
  <dc:description/>
  <cp:lastModifiedBy/>
  <cp:revision>1</cp:revision>
  <dcterms:created xsi:type="dcterms:W3CDTF">2026-09-25T22:41:18Z</dcterms:created>
  <dcterms:modified xsi:type="dcterms:W3CDTF">2026-09-25T22:41:24Z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